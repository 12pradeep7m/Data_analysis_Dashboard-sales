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f5969aba8ad4b4/Desktop/excel practice/"/>
    </mc:Choice>
  </mc:AlternateContent>
  <xr:revisionPtr revIDLastSave="368" documentId="13_ncr:1_{CF505B7A-CCF7-4F49-A49A-520BB5989709}" xr6:coauthVersionLast="47" xr6:coauthVersionMax="47" xr10:uidLastSave="{5B5C2442-FF65-4AD5-B41A-2BFC306ED457}"/>
  <bookViews>
    <workbookView xWindow="-108" yWindow="-108" windowWidth="23256" windowHeight="12456" firstSheet="4" activeTab="6" xr2:uid="{00000000-000D-0000-FFFF-FFFF00000000}"/>
  </bookViews>
  <sheets>
    <sheet name="Avg sales" sheetId="6" r:id="rId1"/>
    <sheet name="category" sheetId="7" r:id="rId2"/>
    <sheet name="Monthly sales" sheetId="8" r:id="rId3"/>
    <sheet name="Payment method " sheetId="9" r:id="rId4"/>
    <sheet name="Rev&amp;Prof" sheetId="3" r:id="rId5"/>
    <sheet name="Peak Monthly sales" sheetId="5" r:id="rId6"/>
    <sheet name="DashBoard" sheetId="4" r:id="rId7"/>
    <sheet name="Ecommerce dataset" sheetId="2" r:id="rId8"/>
  </sheets>
  <definedNames>
    <definedName name="ExternalData_1" localSheetId="7" hidden="1">'Ecommerce dataset'!$A$1:$L$104</definedName>
  </definedNames>
  <calcPr calcId="191029" calcCompleted="0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2" i="2"/>
  <c r="AB40" i="4"/>
  <c r="AB40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E02827-EBED-474E-A695-394DBEAC718C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<sst xmlns="http://schemas.openxmlformats.org/spreadsheetml/2006/main" count="879" uniqueCount="272">
  <si>
    <t>ID</t>
  </si>
  <si>
    <t xml:space="preserve"> Customer_Name</t>
  </si>
  <si>
    <t>Order_ID</t>
  </si>
  <si>
    <t>Order_Date</t>
  </si>
  <si>
    <t xml:space="preserve"> Product</t>
  </si>
  <si>
    <t>Category</t>
  </si>
  <si>
    <t>Quantity</t>
  </si>
  <si>
    <t>Price</t>
  </si>
  <si>
    <t>Payment_Method</t>
  </si>
  <si>
    <t>Status</t>
  </si>
  <si>
    <t>Total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</si>
  <si>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</si>
  <si>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</si>
  <si>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</si>
  <si>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</si>
  <si>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</si>
  <si>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</si>
  <si>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</si>
  <si>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</si>
  <si>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</si>
  <si>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</si>
  <si>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</si>
  <si>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</si>
  <si>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</si>
  <si>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</si>
  <si>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</si>
  <si>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</si>
  <si>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</si>
  <si>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</si>
  <si>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</si>
  <si>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</si>
  <si>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</si>
  <si>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</si>
  <si>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</si>
  <si>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</si>
  <si>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</si>
  <si>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</si>
  <si>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</si>
  <si>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</si>
  <si>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</si>
  <si>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</si>
  <si>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</si>
  <si>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</si>
  <si>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</si>
  <si>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</si>
  <si>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</si>
  <si>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</si>
  <si>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</si>
  <si>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</si>
  <si>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</si>
  <si>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</si>
  <si>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</si>
  <si>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</si>
  <si>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</si>
  <si>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</si>
  <si>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</si>
  <si>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</si>
  <si>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</si>
  <si>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</si>
  <si>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</si>
  <si>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</si>
  <si>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</si>
  <si>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</si>
  <si>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</si>
  <si>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</si>
  <si>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</si>
  <si>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</si>
  <si>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</si>
  <si>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</si>
  <si>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</si>
  <si>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</si>
  <si>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</si>
  <si>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</si>
  <si>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</si>
  <si>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</si>
  <si>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</si>
  <si>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</si>
  <si>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</si>
  <si>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</si>
  <si>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</si>
  <si>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</si>
  <si>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</si>
  <si>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</si>
  <si>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</si>
  <si>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</si>
  <si>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</si>
  <si>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</si>
  <si>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</si>
  <si>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</si>
  <si>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</si>
  <si>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</si>
  <si>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</si>
  <si>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</si>
  <si>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</si>
  <si>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</si>
  <si>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</si>
  <si>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</si>
  <si>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</si>
  <si>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</si>
  <si>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</si>
  <si>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</si>
  <si>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</si>
  <si>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</si>
  <si>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</si>
  <si>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</si>
  <si>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</si>
  <si>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</si>
  <si>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</si>
  <si>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</si>
  <si>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</si>
  <si>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</si>
  <si>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ORD-41285</t>
  </si>
  <si>
    <t>ORD-35783</t>
  </si>
  <si>
    <t>ORD-84355</t>
  </si>
  <si>
    <t>ORD-57811</t>
  </si>
  <si>
    <t>ORD-93614</t>
  </si>
  <si>
    <t>ORD-22442</t>
  </si>
  <si>
    <t>ORD-25885</t>
  </si>
  <si>
    <t>ORD-89122</t>
  </si>
  <si>
    <t>ORD-64400</t>
  </si>
  <si>
    <t>ORD-18512</t>
  </si>
  <si>
    <t>ORD-61020</t>
  </si>
  <si>
    <t>ORD-72349</t>
  </si>
  <si>
    <t>ORD-80867</t>
  </si>
  <si>
    <t>ORD-23994</t>
  </si>
  <si>
    <t>ORD-77417</t>
  </si>
  <si>
    <t>ORD-72778</t>
  </si>
  <si>
    <t>ORD-63660</t>
  </si>
  <si>
    <t>ORD-72751</t>
  </si>
  <si>
    <t>ORD-96061</t>
  </si>
  <si>
    <t>ORD-76016</t>
  </si>
  <si>
    <t>ORD-14659</t>
  </si>
  <si>
    <t>ORD-80067</t>
  </si>
  <si>
    <t>ORD-21443</t>
  </si>
  <si>
    <t>ORD-11314</t>
  </si>
  <si>
    <t>ORD-46136</t>
  </si>
  <si>
    <t>ORD-23202</t>
  </si>
  <si>
    <t>ORD-11261</t>
  </si>
  <si>
    <t>ORD-65482</t>
  </si>
  <si>
    <t>ORD-12270</t>
  </si>
  <si>
    <t>ORD-48863</t>
  </si>
  <si>
    <t>ORD-34007</t>
  </si>
  <si>
    <t>ORD-91396</t>
  </si>
  <si>
    <t>ORD-40186</t>
  </si>
  <si>
    <t>ORD-68182</t>
  </si>
  <si>
    <t>ORD-16585</t>
  </si>
  <si>
    <t>ORD-33656</t>
  </si>
  <si>
    <t>ORD-20985</t>
  </si>
  <si>
    <t>ORD-91254</t>
  </si>
  <si>
    <t>ORD-34319</t>
  </si>
  <si>
    <t>ORD-38418</t>
  </si>
  <si>
    <t>ORD-67096</t>
  </si>
  <si>
    <t>ORD-45059</t>
  </si>
  <si>
    <t>ORD-69018</t>
  </si>
  <si>
    <t>ORD-14329</t>
  </si>
  <si>
    <t>ORD-89452</t>
  </si>
  <si>
    <t>ORD-75314</t>
  </si>
  <si>
    <t>ORD-32755</t>
  </si>
  <si>
    <t>ORD-80707</t>
  </si>
  <si>
    <t>ORD-38423</t>
  </si>
  <si>
    <t>ORD-95911</t>
  </si>
  <si>
    <t>ORD-76902</t>
  </si>
  <si>
    <t>ORD-56552</t>
  </si>
  <si>
    <t>ORD-72869</t>
  </si>
  <si>
    <t>ORD-29721</t>
  </si>
  <si>
    <t>ORD-95990</t>
  </si>
  <si>
    <t>ORD-20182</t>
  </si>
  <si>
    <t>ORD-34679</t>
  </si>
  <si>
    <t>ORD-34407</t>
  </si>
  <si>
    <t>ORD-35817</t>
  </si>
  <si>
    <t>ORD-98162</t>
  </si>
  <si>
    <t>ORD-96037</t>
  </si>
  <si>
    <t>ORD-27653</t>
  </si>
  <si>
    <t>ORD-27743</t>
  </si>
  <si>
    <t>ORD-24378</t>
  </si>
  <si>
    <t>ORD-23010</t>
  </si>
  <si>
    <t>ORD-55695</t>
  </si>
  <si>
    <t>ORD-97756</t>
  </si>
  <si>
    <t>ORD-30329</t>
  </si>
  <si>
    <t>ORD-53430</t>
  </si>
  <si>
    <t>ORD-75539</t>
  </si>
  <si>
    <t>ORD-21530</t>
  </si>
  <si>
    <t>ORD-99790</t>
  </si>
  <si>
    <t>ORD-48008</t>
  </si>
  <si>
    <t>ORD-42171</t>
  </si>
  <si>
    <t>ORD-16766</t>
  </si>
  <si>
    <t>ORD-56651</t>
  </si>
  <si>
    <t>ORD-95794</t>
  </si>
  <si>
    <t>ORD-64136</t>
  </si>
  <si>
    <t>ORD-89906</t>
  </si>
  <si>
    <t>ORD-99328</t>
  </si>
  <si>
    <t>ORD-86629</t>
  </si>
  <si>
    <t>ORD-54481</t>
  </si>
  <si>
    <t>ORD-79672</t>
  </si>
  <si>
    <t>ORD-20916</t>
  </si>
  <si>
    <t>ORD-67799</t>
  </si>
  <si>
    <t>ORD-57123</t>
  </si>
  <si>
    <t>ORD-90569</t>
  </si>
  <si>
    <t>ORD-41292</t>
  </si>
  <si>
    <t>ORD-58590</t>
  </si>
  <si>
    <t>ORD-30627</t>
  </si>
  <si>
    <t>ORD-38469</t>
  </si>
  <si>
    <t>ORD-41810</t>
  </si>
  <si>
    <t>ORD-35144</t>
  </si>
  <si>
    <t>ORD-42475</t>
  </si>
  <si>
    <t>ORD-69764</t>
  </si>
  <si>
    <t>ORD-82876</t>
  </si>
  <si>
    <t>ORD-78384</t>
  </si>
  <si>
    <t>ORD-79139</t>
  </si>
  <si>
    <t>ORD-14608</t>
  </si>
  <si>
    <t>ORD-82922</t>
  </si>
  <si>
    <t>Blender</t>
  </si>
  <si>
    <t>Smartphone</t>
  </si>
  <si>
    <t>Tennis Racket</t>
  </si>
  <si>
    <t>Science</t>
  </si>
  <si>
    <t>Biography</t>
  </si>
  <si>
    <t>Basketball</t>
  </si>
  <si>
    <t>Comics</t>
  </si>
  <si>
    <t>Shoes</t>
  </si>
  <si>
    <t>Fiction</t>
  </si>
  <si>
    <t>Microwave</t>
  </si>
  <si>
    <t>Yoga Mat</t>
  </si>
  <si>
    <t>Vacuum</t>
  </si>
  <si>
    <t>Lamp</t>
  </si>
  <si>
    <t>T-shirt</t>
  </si>
  <si>
    <t>Smartwatch</t>
  </si>
  <si>
    <t>Headphones</t>
  </si>
  <si>
    <t>Football</t>
  </si>
  <si>
    <t>Laptop</t>
  </si>
  <si>
    <t>Jacket</t>
  </si>
  <si>
    <t>shoes</t>
  </si>
  <si>
    <t>Jeans</t>
  </si>
  <si>
    <t>Home</t>
  </si>
  <si>
    <t>Electronics</t>
  </si>
  <si>
    <t>Sports</t>
  </si>
  <si>
    <t>Books</t>
  </si>
  <si>
    <t>electronics</t>
  </si>
  <si>
    <t>Clothing</t>
  </si>
  <si>
    <t>electronic</t>
  </si>
  <si>
    <t>ELECTRONICS</t>
  </si>
  <si>
    <t>Cash on Delivery</t>
  </si>
  <si>
    <t>PayPal</t>
  </si>
  <si>
    <t>Bank Transfer</t>
  </si>
  <si>
    <t>Credit Card</t>
  </si>
  <si>
    <t>Shipped</t>
  </si>
  <si>
    <t>Processing</t>
  </si>
  <si>
    <t>Delivered</t>
  </si>
  <si>
    <t>Cancelled</t>
  </si>
  <si>
    <t>Returned</t>
  </si>
  <si>
    <t>nan</t>
  </si>
  <si>
    <t>sports</t>
  </si>
  <si>
    <t>Monthly</t>
  </si>
  <si>
    <t>Row Labels</t>
  </si>
  <si>
    <t>Grand Total</t>
  </si>
  <si>
    <t>Sum of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</si>
  <si>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</si>
  <si>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</si>
  <si>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</si>
  <si>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</si>
  <si>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</si>
  <si>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</si>
  <si>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</si>
  <si>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</si>
  <si>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</si>
  <si>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</si>
  <si>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</si>
  <si>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</si>
  <si>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</si>
  <si>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Average of Quantity</t>
  </si>
  <si>
    <t>(blank)</t>
  </si>
  <si>
    <t xml:space="preserve"> 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</si>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</sst>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[ecommerce_data.xlsx]Avg sales!PivotTable3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ORDER</a:t>
            </a:r>
            <a:r>
              <a:rPr lang="en-US" baseline="0"/>
              <a:t>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sales'!$A$4:$A$104</c:f>
              <c:strCache>
                <c:ptCount val="100"/>
                <c:pt idx="0">
                  <c:v>ORD-11261</c:v>
                </c:pt>
                <c:pt idx="1">
                  <c:v>ORD-11314</c:v>
                </c:pt>
                <c:pt idx="2">
                  <c:v>ORD-12270</c:v>
                </c:pt>
                <c:pt idx="3">
                  <c:v>ORD-14329</c:v>
                </c:pt>
                <c:pt idx="4">
                  <c:v>ORD-14608</c:v>
                </c:pt>
                <c:pt idx="5">
                  <c:v>ORD-14659</c:v>
                </c:pt>
                <c:pt idx="6">
                  <c:v>ORD-16585</c:v>
                </c:pt>
                <c:pt idx="7">
                  <c:v>ORD-16766</c:v>
                </c:pt>
                <c:pt idx="8">
                  <c:v>ORD-18512</c:v>
                </c:pt>
                <c:pt idx="9">
                  <c:v>ORD-20182</c:v>
                </c:pt>
                <c:pt idx="10">
                  <c:v>ORD-20916</c:v>
                </c:pt>
                <c:pt idx="11">
                  <c:v>ORD-20985</c:v>
                </c:pt>
                <c:pt idx="12">
                  <c:v>ORD-21443</c:v>
                </c:pt>
                <c:pt idx="13">
                  <c:v>ORD-21530</c:v>
                </c:pt>
                <c:pt idx="14">
                  <c:v>ORD-22442</c:v>
                </c:pt>
                <c:pt idx="15">
                  <c:v>ORD-23010</c:v>
                </c:pt>
                <c:pt idx="16">
                  <c:v>ORD-23202</c:v>
                </c:pt>
                <c:pt idx="17">
                  <c:v>ORD-23994</c:v>
                </c:pt>
                <c:pt idx="18">
                  <c:v>ORD-24378</c:v>
                </c:pt>
                <c:pt idx="19">
                  <c:v>ORD-25885</c:v>
                </c:pt>
                <c:pt idx="20">
                  <c:v>ORD-27653</c:v>
                </c:pt>
                <c:pt idx="21">
                  <c:v>ORD-27743</c:v>
                </c:pt>
                <c:pt idx="22">
                  <c:v>ORD-29721</c:v>
                </c:pt>
                <c:pt idx="23">
                  <c:v>ORD-30329</c:v>
                </c:pt>
                <c:pt idx="24">
                  <c:v>ORD-30627</c:v>
                </c:pt>
                <c:pt idx="25">
                  <c:v>ORD-32755</c:v>
                </c:pt>
                <c:pt idx="26">
                  <c:v>ORD-33656</c:v>
                </c:pt>
                <c:pt idx="27">
                  <c:v>ORD-34007</c:v>
                </c:pt>
                <c:pt idx="28">
                  <c:v>ORD-34319</c:v>
                </c:pt>
                <c:pt idx="29">
                  <c:v>ORD-34407</c:v>
                </c:pt>
                <c:pt idx="30">
                  <c:v>ORD-34679</c:v>
                </c:pt>
                <c:pt idx="31">
                  <c:v>ORD-35144</c:v>
                </c:pt>
                <c:pt idx="32">
                  <c:v>ORD-35783</c:v>
                </c:pt>
                <c:pt idx="33">
                  <c:v>ORD-35817</c:v>
                </c:pt>
                <c:pt idx="34">
                  <c:v>ORD-38418</c:v>
                </c:pt>
                <c:pt idx="35">
                  <c:v>ORD-38423</c:v>
                </c:pt>
                <c:pt idx="36">
                  <c:v>ORD-38469</c:v>
                </c:pt>
                <c:pt idx="37">
                  <c:v>ORD-40186</c:v>
                </c:pt>
                <c:pt idx="38">
                  <c:v>ORD-41285</c:v>
                </c:pt>
                <c:pt idx="39">
                  <c:v>ORD-41292</c:v>
                </c:pt>
                <c:pt idx="40">
                  <c:v>ORD-41810</c:v>
                </c:pt>
                <c:pt idx="41">
                  <c:v>ORD-42171</c:v>
                </c:pt>
                <c:pt idx="42">
                  <c:v>ORD-42475</c:v>
                </c:pt>
                <c:pt idx="43">
                  <c:v>ORD-45059</c:v>
                </c:pt>
                <c:pt idx="44">
                  <c:v>ORD-46136</c:v>
                </c:pt>
                <c:pt idx="45">
                  <c:v>ORD-48008</c:v>
                </c:pt>
                <c:pt idx="46">
                  <c:v>ORD-48863</c:v>
                </c:pt>
                <c:pt idx="47">
                  <c:v>ORD-53430</c:v>
                </c:pt>
                <c:pt idx="48">
                  <c:v>ORD-54481</c:v>
                </c:pt>
                <c:pt idx="49">
                  <c:v>ORD-55695</c:v>
                </c:pt>
                <c:pt idx="50">
                  <c:v>ORD-56552</c:v>
                </c:pt>
                <c:pt idx="51">
                  <c:v>ORD-56651</c:v>
                </c:pt>
                <c:pt idx="52">
                  <c:v>ORD-57123</c:v>
                </c:pt>
                <c:pt idx="53">
                  <c:v>ORD-57811</c:v>
                </c:pt>
                <c:pt idx="54">
                  <c:v>ORD-58590</c:v>
                </c:pt>
                <c:pt idx="55">
                  <c:v>ORD-61020</c:v>
                </c:pt>
                <c:pt idx="56">
                  <c:v>ORD-63660</c:v>
                </c:pt>
                <c:pt idx="57">
                  <c:v>ORD-64136</c:v>
                </c:pt>
                <c:pt idx="58">
                  <c:v>ORD-64400</c:v>
                </c:pt>
                <c:pt idx="59">
                  <c:v>ORD-65482</c:v>
                </c:pt>
                <c:pt idx="60">
                  <c:v>ORD-67096</c:v>
                </c:pt>
                <c:pt idx="61">
                  <c:v>ORD-67799</c:v>
                </c:pt>
                <c:pt idx="62">
                  <c:v>ORD-68182</c:v>
                </c:pt>
                <c:pt idx="63">
                  <c:v>ORD-69018</c:v>
                </c:pt>
                <c:pt idx="64">
                  <c:v>ORD-69764</c:v>
                </c:pt>
                <c:pt idx="65">
                  <c:v>ORD-72349</c:v>
                </c:pt>
                <c:pt idx="66">
                  <c:v>ORD-72751</c:v>
                </c:pt>
                <c:pt idx="67">
                  <c:v>ORD-72778</c:v>
                </c:pt>
                <c:pt idx="68">
                  <c:v>ORD-72869</c:v>
                </c:pt>
                <c:pt idx="69">
                  <c:v>ORD-75314</c:v>
                </c:pt>
                <c:pt idx="70">
                  <c:v>ORD-75539</c:v>
                </c:pt>
                <c:pt idx="71">
                  <c:v>ORD-76016</c:v>
                </c:pt>
                <c:pt idx="72">
                  <c:v>ORD-76902</c:v>
                </c:pt>
                <c:pt idx="73">
                  <c:v>ORD-77417</c:v>
                </c:pt>
                <c:pt idx="74">
                  <c:v>ORD-78384</c:v>
                </c:pt>
                <c:pt idx="75">
                  <c:v>ORD-79139</c:v>
                </c:pt>
                <c:pt idx="76">
                  <c:v>ORD-79672</c:v>
                </c:pt>
                <c:pt idx="77">
                  <c:v>ORD-80067</c:v>
                </c:pt>
                <c:pt idx="78">
                  <c:v>ORD-80707</c:v>
                </c:pt>
                <c:pt idx="79">
                  <c:v>ORD-80867</c:v>
                </c:pt>
                <c:pt idx="80">
                  <c:v>ORD-82876</c:v>
                </c:pt>
                <c:pt idx="81">
                  <c:v>ORD-82922</c:v>
                </c:pt>
                <c:pt idx="82">
                  <c:v>ORD-84355</c:v>
                </c:pt>
                <c:pt idx="83">
                  <c:v>ORD-86629</c:v>
                </c:pt>
                <c:pt idx="84">
                  <c:v>ORD-89122</c:v>
                </c:pt>
                <c:pt idx="85">
                  <c:v>ORD-89452</c:v>
                </c:pt>
                <c:pt idx="86">
                  <c:v>ORD-89906</c:v>
                </c:pt>
                <c:pt idx="87">
                  <c:v>ORD-90569</c:v>
                </c:pt>
                <c:pt idx="88">
                  <c:v>ORD-91254</c:v>
                </c:pt>
                <c:pt idx="89">
                  <c:v>ORD-91396</c:v>
                </c:pt>
                <c:pt idx="90">
                  <c:v>ORD-93614</c:v>
                </c:pt>
                <c:pt idx="91">
                  <c:v>ORD-95794</c:v>
                </c:pt>
                <c:pt idx="92">
                  <c:v>ORD-95911</c:v>
                </c:pt>
                <c:pt idx="93">
                  <c:v>ORD-95990</c:v>
                </c:pt>
                <c:pt idx="94">
                  <c:v>ORD-96037</c:v>
                </c:pt>
                <c:pt idx="95">
                  <c:v>ORD-96061</c:v>
                </c:pt>
                <c:pt idx="96">
                  <c:v>ORD-97756</c:v>
                </c:pt>
                <c:pt idx="97">
                  <c:v>ORD-98162</c:v>
                </c:pt>
                <c:pt idx="98">
                  <c:v>ORD-99328</c:v>
                </c:pt>
                <c:pt idx="99">
                  <c:v>ORD-99790</c:v>
                </c:pt>
              </c:strCache>
            </c:strRef>
          </c:cat>
          <c:val>
            <c:numRef>
              <c:f>'Avg sales'!$B$4:$B$104</c:f>
              <c:numCache>
                <c:formatCode>General</c:formatCode>
                <c:ptCount val="10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-5</c:v>
                </c:pt>
                <c:pt idx="7">
                  <c:v>4</c:v>
                </c:pt>
                <c:pt idx="8">
                  <c:v>5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0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2</c:v>
                </c:pt>
                <c:pt idx="28">
                  <c:v>1</c:v>
                </c:pt>
                <c:pt idx="29">
                  <c:v>4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5</c:v>
                </c:pt>
                <c:pt idx="42">
                  <c:v>0</c:v>
                </c:pt>
                <c:pt idx="43">
                  <c:v>3</c:v>
                </c:pt>
                <c:pt idx="44">
                  <c:v>5</c:v>
                </c:pt>
                <c:pt idx="45">
                  <c:v>2</c:v>
                </c:pt>
                <c:pt idx="46">
                  <c:v>4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5</c:v>
                </c:pt>
                <c:pt idx="60">
                  <c:v>4</c:v>
                </c:pt>
                <c:pt idx="61">
                  <c:v>4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2</c:v>
                </c:pt>
                <c:pt idx="66">
                  <c:v>-2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1</c:v>
                </c:pt>
                <c:pt idx="71">
                  <c:v>4</c:v>
                </c:pt>
                <c:pt idx="72">
                  <c:v>1</c:v>
                </c:pt>
                <c:pt idx="73">
                  <c:v>2</c:v>
                </c:pt>
                <c:pt idx="74">
                  <c:v>0</c:v>
                </c:pt>
                <c:pt idx="75">
                  <c:v>1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1</c:v>
                </c:pt>
                <c:pt idx="83">
                  <c:v>2</c:v>
                </c:pt>
                <c:pt idx="84">
                  <c:v>5</c:v>
                </c:pt>
                <c:pt idx="85">
                  <c:v>5</c:v>
                </c:pt>
                <c:pt idx="86">
                  <c:v>3</c:v>
                </c:pt>
                <c:pt idx="87">
                  <c:v>1</c:v>
                </c:pt>
                <c:pt idx="88">
                  <c:v>3</c:v>
                </c:pt>
                <c:pt idx="89">
                  <c:v>5</c:v>
                </c:pt>
                <c:pt idx="90">
                  <c:v>1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3-4974-9820-45A74B39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4470640"/>
        <c:axId val="1524477712"/>
      </c:barChart>
      <c:catAx>
        <c:axId val="15244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77712"/>
        <c:crosses val="autoZero"/>
        <c:auto val="1"/>
        <c:lblAlgn val="ctr"/>
        <c:lblOffset val="100"/>
        <c:noMultiLvlLbl val="0"/>
      </c:catAx>
      <c:valAx>
        <c:axId val="15244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[ecommerce_data.xlsx]category!PivotTable4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orders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category!$A$4:$A$12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electronic</c:v>
                </c:pt>
                <c:pt idx="3">
                  <c:v>Electronics</c:v>
                </c:pt>
                <c:pt idx="4">
                  <c:v>Home</c:v>
                </c:pt>
                <c:pt idx="5">
                  <c:v>nan</c:v>
                </c:pt>
                <c:pt idx="6">
                  <c:v>Sports</c:v>
                </c:pt>
                <c:pt idx="7">
                  <c:v>(blank)</c:v>
                </c:pt>
              </c:strCache>
            </c:strRef>
          </c:cat>
          <c:val>
            <c:numRef>
              <c:f>category!$B$4:$B$12</c:f>
              <c:numCache>
                <c:formatCode>General</c:formatCode>
                <c:ptCount val="8"/>
                <c:pt idx="0">
                  <c:v>74</c:v>
                </c:pt>
                <c:pt idx="1">
                  <c:v>44</c:v>
                </c:pt>
                <c:pt idx="2">
                  <c:v>5</c:v>
                </c:pt>
                <c:pt idx="3">
                  <c:v>38</c:v>
                </c:pt>
                <c:pt idx="4">
                  <c:v>59</c:v>
                </c:pt>
                <c:pt idx="5">
                  <c:v>6</c:v>
                </c:pt>
                <c:pt idx="6">
                  <c:v>44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F-486B-9980-7DE47CFA16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41840384"/>
        <c:axId val="1541842880"/>
      </c:lineChart>
      <c:catAx>
        <c:axId val="154184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42880"/>
        <c:crosses val="autoZero"/>
        <c:auto val="1"/>
        <c:lblAlgn val="ctr"/>
        <c:lblOffset val="100"/>
        <c:noMultiLvlLbl val="0"/>
      </c:catAx>
      <c:valAx>
        <c:axId val="1541842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184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[ecommerce_data.xlsx]Monthly sales!PivotTable5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Sales Monthly</a:t>
            </a:r>
            <a:endParaRPr lang="en-US"/>
          </a:p>
        </c:rich>
      </c:tx>
      <c:layout>
        <c:manualLayout>
          <c:xMode val="edge"/>
          <c:yMode val="edge"/>
          <c:x val="0.33028455818022751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29</c:v>
                </c:pt>
                <c:pt idx="1">
                  <c:v>34</c:v>
                </c:pt>
                <c:pt idx="2">
                  <c:v>17</c:v>
                </c:pt>
                <c:pt idx="3">
                  <c:v>2</c:v>
                </c:pt>
                <c:pt idx="4">
                  <c:v>33</c:v>
                </c:pt>
                <c:pt idx="5">
                  <c:v>27</c:v>
                </c:pt>
                <c:pt idx="6">
                  <c:v>33</c:v>
                </c:pt>
                <c:pt idx="7">
                  <c:v>11</c:v>
                </c:pt>
                <c:pt idx="8">
                  <c:v>18</c:v>
                </c:pt>
                <c:pt idx="9">
                  <c:v>31</c:v>
                </c:pt>
                <c:pt idx="10">
                  <c:v>30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8-4D34-B088-A3723FC1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4473136"/>
        <c:axId val="1524486032"/>
      </c:barChart>
      <c:catAx>
        <c:axId val="152447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86032"/>
        <c:crosses val="autoZero"/>
        <c:auto val="1"/>
        <c:lblAlgn val="ctr"/>
        <c:lblOffset val="100"/>
        <c:noMultiLvlLbl val="0"/>
      </c:catAx>
      <c:valAx>
        <c:axId val="152448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[ecommerce_data.xlsx]Payment method 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method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5F-4410-BD30-B4E80431F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5F-4410-BD30-B4E80431FE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5F-4410-BD30-B4E80431FE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5F-4410-BD30-B4E80431FEE4}"/>
              </c:ext>
            </c:extLst>
          </c:dPt>
          <c:cat>
            <c:strRef>
              <c:f>'Payment method '!$A$4:$A$8</c:f>
              <c:strCache>
                <c:ptCount val="4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'Payment method '!$B$4:$B$8</c:f>
              <c:numCache>
                <c:formatCode>General</c:formatCode>
                <c:ptCount val="4"/>
                <c:pt idx="0">
                  <c:v>23</c:v>
                </c:pt>
                <c:pt idx="1">
                  <c:v>33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6-4884-9B74-57B7FE03C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[ecommerce_data.xlsx]Rev&amp;Prof!PivotTable1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'Rev&amp;Prof'!$B$3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'Rev&amp;Prof'!$A$4:$A$104</c:f>
              <c:strCache>
                <c:ptCount val="100"/>
                <c:pt idx="0">
                  <c:v>ORD-11261</c:v>
                </c:pt>
                <c:pt idx="1">
                  <c:v>ORD-11314</c:v>
                </c:pt>
                <c:pt idx="2">
                  <c:v>ORD-12270</c:v>
                </c:pt>
                <c:pt idx="3">
                  <c:v>ORD-14329</c:v>
                </c:pt>
                <c:pt idx="4">
                  <c:v>ORD-14608</c:v>
                </c:pt>
                <c:pt idx="5">
                  <c:v>ORD-14659</c:v>
                </c:pt>
                <c:pt idx="6">
                  <c:v>ORD-16585</c:v>
                </c:pt>
                <c:pt idx="7">
                  <c:v>ORD-16766</c:v>
                </c:pt>
                <c:pt idx="8">
                  <c:v>ORD-18512</c:v>
                </c:pt>
                <c:pt idx="9">
                  <c:v>ORD-20182</c:v>
                </c:pt>
                <c:pt idx="10">
                  <c:v>ORD-20916</c:v>
                </c:pt>
                <c:pt idx="11">
                  <c:v>ORD-20985</c:v>
                </c:pt>
                <c:pt idx="12">
                  <c:v>ORD-21443</c:v>
                </c:pt>
                <c:pt idx="13">
                  <c:v>ORD-21530</c:v>
                </c:pt>
                <c:pt idx="14">
                  <c:v>ORD-22442</c:v>
                </c:pt>
                <c:pt idx="15">
                  <c:v>ORD-23010</c:v>
                </c:pt>
                <c:pt idx="16">
                  <c:v>ORD-23202</c:v>
                </c:pt>
                <c:pt idx="17">
                  <c:v>ORD-23994</c:v>
                </c:pt>
                <c:pt idx="18">
                  <c:v>ORD-24378</c:v>
                </c:pt>
                <c:pt idx="19">
                  <c:v>ORD-25885</c:v>
                </c:pt>
                <c:pt idx="20">
                  <c:v>ORD-27653</c:v>
                </c:pt>
                <c:pt idx="21">
                  <c:v>ORD-27743</c:v>
                </c:pt>
                <c:pt idx="22">
                  <c:v>ORD-29721</c:v>
                </c:pt>
                <c:pt idx="23">
                  <c:v>ORD-30329</c:v>
                </c:pt>
                <c:pt idx="24">
                  <c:v>ORD-30627</c:v>
                </c:pt>
                <c:pt idx="25">
                  <c:v>ORD-32755</c:v>
                </c:pt>
                <c:pt idx="26">
                  <c:v>ORD-33656</c:v>
                </c:pt>
                <c:pt idx="27">
                  <c:v>ORD-34007</c:v>
                </c:pt>
                <c:pt idx="28">
                  <c:v>ORD-34319</c:v>
                </c:pt>
                <c:pt idx="29">
                  <c:v>ORD-34407</c:v>
                </c:pt>
                <c:pt idx="30">
                  <c:v>ORD-34679</c:v>
                </c:pt>
                <c:pt idx="31">
                  <c:v>ORD-35144</c:v>
                </c:pt>
                <c:pt idx="32">
                  <c:v>ORD-35783</c:v>
                </c:pt>
                <c:pt idx="33">
                  <c:v>ORD-35817</c:v>
                </c:pt>
                <c:pt idx="34">
                  <c:v>ORD-38418</c:v>
                </c:pt>
                <c:pt idx="35">
                  <c:v>ORD-38423</c:v>
                </c:pt>
                <c:pt idx="36">
                  <c:v>ORD-38469</c:v>
                </c:pt>
                <c:pt idx="37">
                  <c:v>ORD-40186</c:v>
                </c:pt>
                <c:pt idx="38">
                  <c:v>ORD-41285</c:v>
                </c:pt>
                <c:pt idx="39">
                  <c:v>ORD-41292</c:v>
                </c:pt>
                <c:pt idx="40">
                  <c:v>ORD-41810</c:v>
                </c:pt>
                <c:pt idx="41">
                  <c:v>ORD-42171</c:v>
                </c:pt>
                <c:pt idx="42">
                  <c:v>ORD-42475</c:v>
                </c:pt>
                <c:pt idx="43">
                  <c:v>ORD-45059</c:v>
                </c:pt>
                <c:pt idx="44">
                  <c:v>ORD-46136</c:v>
                </c:pt>
                <c:pt idx="45">
                  <c:v>ORD-48008</c:v>
                </c:pt>
                <c:pt idx="46">
                  <c:v>ORD-48863</c:v>
                </c:pt>
                <c:pt idx="47">
                  <c:v>ORD-53430</c:v>
                </c:pt>
                <c:pt idx="48">
                  <c:v>ORD-54481</c:v>
                </c:pt>
                <c:pt idx="49">
                  <c:v>ORD-55695</c:v>
                </c:pt>
                <c:pt idx="50">
                  <c:v>ORD-56552</c:v>
                </c:pt>
                <c:pt idx="51">
                  <c:v>ORD-56651</c:v>
                </c:pt>
                <c:pt idx="52">
                  <c:v>ORD-57123</c:v>
                </c:pt>
                <c:pt idx="53">
                  <c:v>ORD-57811</c:v>
                </c:pt>
                <c:pt idx="54">
                  <c:v>ORD-58590</c:v>
                </c:pt>
                <c:pt idx="55">
                  <c:v>ORD-61020</c:v>
                </c:pt>
                <c:pt idx="56">
                  <c:v>ORD-63660</c:v>
                </c:pt>
                <c:pt idx="57">
                  <c:v>ORD-64136</c:v>
                </c:pt>
                <c:pt idx="58">
                  <c:v>ORD-64400</c:v>
                </c:pt>
                <c:pt idx="59">
                  <c:v>ORD-65482</c:v>
                </c:pt>
                <c:pt idx="60">
                  <c:v>ORD-67096</c:v>
                </c:pt>
                <c:pt idx="61">
                  <c:v>ORD-67799</c:v>
                </c:pt>
                <c:pt idx="62">
                  <c:v>ORD-68182</c:v>
                </c:pt>
                <c:pt idx="63">
                  <c:v>ORD-69018</c:v>
                </c:pt>
                <c:pt idx="64">
                  <c:v>ORD-69764</c:v>
                </c:pt>
                <c:pt idx="65">
                  <c:v>ORD-72349</c:v>
                </c:pt>
                <c:pt idx="66">
                  <c:v>ORD-72751</c:v>
                </c:pt>
                <c:pt idx="67">
                  <c:v>ORD-72778</c:v>
                </c:pt>
                <c:pt idx="68">
                  <c:v>ORD-72869</c:v>
                </c:pt>
                <c:pt idx="69">
                  <c:v>ORD-75314</c:v>
                </c:pt>
                <c:pt idx="70">
                  <c:v>ORD-75539</c:v>
                </c:pt>
                <c:pt idx="71">
                  <c:v>ORD-76016</c:v>
                </c:pt>
                <c:pt idx="72">
                  <c:v>ORD-76902</c:v>
                </c:pt>
                <c:pt idx="73">
                  <c:v>ORD-77417</c:v>
                </c:pt>
                <c:pt idx="74">
                  <c:v>ORD-78384</c:v>
                </c:pt>
                <c:pt idx="75">
                  <c:v>ORD-79139</c:v>
                </c:pt>
                <c:pt idx="76">
                  <c:v>ORD-79672</c:v>
                </c:pt>
                <c:pt idx="77">
                  <c:v>ORD-80067</c:v>
                </c:pt>
                <c:pt idx="78">
                  <c:v>ORD-80707</c:v>
                </c:pt>
                <c:pt idx="79">
                  <c:v>ORD-80867</c:v>
                </c:pt>
                <c:pt idx="80">
                  <c:v>ORD-82876</c:v>
                </c:pt>
                <c:pt idx="81">
                  <c:v>ORD-82922</c:v>
                </c:pt>
                <c:pt idx="82">
                  <c:v>ORD-84355</c:v>
                </c:pt>
                <c:pt idx="83">
                  <c:v>ORD-86629</c:v>
                </c:pt>
                <c:pt idx="84">
                  <c:v>ORD-89122</c:v>
                </c:pt>
                <c:pt idx="85">
                  <c:v>ORD-89452</c:v>
                </c:pt>
                <c:pt idx="86">
                  <c:v>ORD-89906</c:v>
                </c:pt>
                <c:pt idx="87">
                  <c:v>ORD-90569</c:v>
                </c:pt>
                <c:pt idx="88">
                  <c:v>ORD-91254</c:v>
                </c:pt>
                <c:pt idx="89">
                  <c:v>ORD-91396</c:v>
                </c:pt>
                <c:pt idx="90">
                  <c:v>ORD-93614</c:v>
                </c:pt>
                <c:pt idx="91">
                  <c:v>ORD-95794</c:v>
                </c:pt>
                <c:pt idx="92">
                  <c:v>ORD-95911</c:v>
                </c:pt>
                <c:pt idx="93">
                  <c:v>ORD-95990</c:v>
                </c:pt>
                <c:pt idx="94">
                  <c:v>ORD-96037</c:v>
                </c:pt>
                <c:pt idx="95">
                  <c:v>ORD-96061</c:v>
                </c:pt>
                <c:pt idx="96">
                  <c:v>ORD-97756</c:v>
                </c:pt>
                <c:pt idx="97">
                  <c:v>ORD-98162</c:v>
                </c:pt>
                <c:pt idx="98">
                  <c:v>ORD-99328</c:v>
                </c:pt>
                <c:pt idx="99">
                  <c:v>ORD-99790</c:v>
                </c:pt>
              </c:strCache>
            </c:strRef>
          </c:cat>
          <c:val>
            <c:numRef>
              <c:f>'Rev&amp;Prof'!$B$4:$B$104</c:f>
              <c:numCache>
                <c:formatCode>General</c:formatCode>
                <c:ptCount val="100"/>
                <c:pt idx="0">
                  <c:v>836.8</c:v>
                </c:pt>
                <c:pt idx="1">
                  <c:v>615.91</c:v>
                </c:pt>
                <c:pt idx="2">
                  <c:v>898.69</c:v>
                </c:pt>
                <c:pt idx="3">
                  <c:v>826.77</c:v>
                </c:pt>
                <c:pt idx="4">
                  <c:v>497.01</c:v>
                </c:pt>
                <c:pt idx="5">
                  <c:v>0</c:v>
                </c:pt>
                <c:pt idx="6">
                  <c:v>591.53</c:v>
                </c:pt>
                <c:pt idx="7">
                  <c:v>187.48</c:v>
                </c:pt>
                <c:pt idx="8">
                  <c:v>168.34</c:v>
                </c:pt>
                <c:pt idx="9">
                  <c:v>40.950000000000003</c:v>
                </c:pt>
                <c:pt idx="10">
                  <c:v>0</c:v>
                </c:pt>
                <c:pt idx="11">
                  <c:v>696.71</c:v>
                </c:pt>
                <c:pt idx="12">
                  <c:v>556.92999999999995</c:v>
                </c:pt>
                <c:pt idx="13">
                  <c:v>741.63</c:v>
                </c:pt>
                <c:pt idx="14">
                  <c:v>122.06</c:v>
                </c:pt>
                <c:pt idx="15">
                  <c:v>587.64</c:v>
                </c:pt>
                <c:pt idx="16">
                  <c:v>765.69</c:v>
                </c:pt>
                <c:pt idx="17">
                  <c:v>411.81</c:v>
                </c:pt>
                <c:pt idx="18">
                  <c:v>235.26</c:v>
                </c:pt>
                <c:pt idx="19">
                  <c:v>978.63</c:v>
                </c:pt>
                <c:pt idx="20">
                  <c:v>209.32</c:v>
                </c:pt>
                <c:pt idx="21">
                  <c:v>155.76</c:v>
                </c:pt>
                <c:pt idx="22">
                  <c:v>278.89999999999998</c:v>
                </c:pt>
                <c:pt idx="23">
                  <c:v>593.92999999999995</c:v>
                </c:pt>
                <c:pt idx="24">
                  <c:v>814.68</c:v>
                </c:pt>
                <c:pt idx="25">
                  <c:v>1410.84</c:v>
                </c:pt>
                <c:pt idx="26">
                  <c:v>446.19</c:v>
                </c:pt>
                <c:pt idx="27">
                  <c:v>0</c:v>
                </c:pt>
                <c:pt idx="28">
                  <c:v>531.05999999999995</c:v>
                </c:pt>
                <c:pt idx="29">
                  <c:v>275.10000000000002</c:v>
                </c:pt>
                <c:pt idx="30">
                  <c:v>0</c:v>
                </c:pt>
                <c:pt idx="31">
                  <c:v>203.63</c:v>
                </c:pt>
                <c:pt idx="32">
                  <c:v>0</c:v>
                </c:pt>
                <c:pt idx="33">
                  <c:v>933.58</c:v>
                </c:pt>
                <c:pt idx="34">
                  <c:v>681.38</c:v>
                </c:pt>
                <c:pt idx="35">
                  <c:v>660.98</c:v>
                </c:pt>
                <c:pt idx="36">
                  <c:v>920.37</c:v>
                </c:pt>
                <c:pt idx="37">
                  <c:v>266.7</c:v>
                </c:pt>
                <c:pt idx="38">
                  <c:v>38</c:v>
                </c:pt>
                <c:pt idx="39">
                  <c:v>882.96</c:v>
                </c:pt>
                <c:pt idx="40">
                  <c:v>881.02</c:v>
                </c:pt>
                <c:pt idx="41">
                  <c:v>351.89</c:v>
                </c:pt>
                <c:pt idx="42">
                  <c:v>522.02</c:v>
                </c:pt>
                <c:pt idx="43">
                  <c:v>546.04</c:v>
                </c:pt>
                <c:pt idx="44">
                  <c:v>0</c:v>
                </c:pt>
                <c:pt idx="45">
                  <c:v>942.76</c:v>
                </c:pt>
                <c:pt idx="46">
                  <c:v>736.71</c:v>
                </c:pt>
                <c:pt idx="47">
                  <c:v>141.49</c:v>
                </c:pt>
                <c:pt idx="48">
                  <c:v>266.48</c:v>
                </c:pt>
                <c:pt idx="49">
                  <c:v>443.13</c:v>
                </c:pt>
                <c:pt idx="50">
                  <c:v>457.16</c:v>
                </c:pt>
                <c:pt idx="51">
                  <c:v>222.72</c:v>
                </c:pt>
                <c:pt idx="52">
                  <c:v>730.92</c:v>
                </c:pt>
                <c:pt idx="53">
                  <c:v>233.92</c:v>
                </c:pt>
                <c:pt idx="54">
                  <c:v>504.05</c:v>
                </c:pt>
                <c:pt idx="55">
                  <c:v>0</c:v>
                </c:pt>
                <c:pt idx="56">
                  <c:v>0</c:v>
                </c:pt>
                <c:pt idx="57">
                  <c:v>69.48</c:v>
                </c:pt>
                <c:pt idx="58">
                  <c:v>600.29</c:v>
                </c:pt>
                <c:pt idx="59">
                  <c:v>336.02</c:v>
                </c:pt>
                <c:pt idx="60">
                  <c:v>588.98</c:v>
                </c:pt>
                <c:pt idx="61">
                  <c:v>101.19</c:v>
                </c:pt>
                <c:pt idx="62">
                  <c:v>343.24</c:v>
                </c:pt>
                <c:pt idx="63">
                  <c:v>1290.52</c:v>
                </c:pt>
                <c:pt idx="64">
                  <c:v>944.54</c:v>
                </c:pt>
                <c:pt idx="65">
                  <c:v>865.77</c:v>
                </c:pt>
                <c:pt idx="66">
                  <c:v>10000</c:v>
                </c:pt>
                <c:pt idx="67">
                  <c:v>796.84</c:v>
                </c:pt>
                <c:pt idx="68">
                  <c:v>233.11</c:v>
                </c:pt>
                <c:pt idx="69">
                  <c:v>860.99</c:v>
                </c:pt>
                <c:pt idx="70">
                  <c:v>582.13</c:v>
                </c:pt>
                <c:pt idx="71">
                  <c:v>438.19</c:v>
                </c:pt>
                <c:pt idx="72">
                  <c:v>206.19</c:v>
                </c:pt>
                <c:pt idx="73">
                  <c:v>413.13</c:v>
                </c:pt>
                <c:pt idx="74">
                  <c:v>0</c:v>
                </c:pt>
                <c:pt idx="75">
                  <c:v>160.16</c:v>
                </c:pt>
                <c:pt idx="76">
                  <c:v>538.35</c:v>
                </c:pt>
                <c:pt idx="77">
                  <c:v>523.01</c:v>
                </c:pt>
                <c:pt idx="78">
                  <c:v>596.15</c:v>
                </c:pt>
                <c:pt idx="79">
                  <c:v>752.13</c:v>
                </c:pt>
                <c:pt idx="80">
                  <c:v>817.46</c:v>
                </c:pt>
                <c:pt idx="81">
                  <c:v>372.28</c:v>
                </c:pt>
                <c:pt idx="82">
                  <c:v>389.05</c:v>
                </c:pt>
                <c:pt idx="83">
                  <c:v>418.38</c:v>
                </c:pt>
                <c:pt idx="84">
                  <c:v>587.67999999999995</c:v>
                </c:pt>
                <c:pt idx="85">
                  <c:v>849.07</c:v>
                </c:pt>
                <c:pt idx="86">
                  <c:v>472.14</c:v>
                </c:pt>
                <c:pt idx="87">
                  <c:v>365.34</c:v>
                </c:pt>
                <c:pt idx="88">
                  <c:v>-100</c:v>
                </c:pt>
                <c:pt idx="89">
                  <c:v>616.63</c:v>
                </c:pt>
                <c:pt idx="90">
                  <c:v>552.51</c:v>
                </c:pt>
                <c:pt idx="91">
                  <c:v>530.52</c:v>
                </c:pt>
                <c:pt idx="92">
                  <c:v>896.38</c:v>
                </c:pt>
                <c:pt idx="93">
                  <c:v>789.64</c:v>
                </c:pt>
                <c:pt idx="94">
                  <c:v>242.52</c:v>
                </c:pt>
                <c:pt idx="95">
                  <c:v>247.82</c:v>
                </c:pt>
                <c:pt idx="96">
                  <c:v>569.38</c:v>
                </c:pt>
                <c:pt idx="97">
                  <c:v>163.16</c:v>
                </c:pt>
                <c:pt idx="98">
                  <c:v>868.67</c:v>
                </c:pt>
                <c:pt idx="99">
                  <c:v>688.68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1-46E3-8CA9-412CAFBC1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095552"/>
        <c:axId val="1306092224"/>
      </c:barChart>
      <c:catAx>
        <c:axId val="130609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92224"/>
        <c:crosses val="autoZero"/>
        <c:auto val="1"/>
        <c:lblAlgn val="ctr"/>
        <c:lblOffset val="100"/>
        <c:noMultiLvlLbl val="0"/>
      </c:catAx>
      <c:valAx>
        <c:axId val="13060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9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[ecommerce_data.xlsx]Peak Monthly sales!PivotTable2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'Peak 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'Peak 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'Peak Monthly sales'!$B$4:$B$16</c:f>
              <c:numCache>
                <c:formatCode>General</c:formatCode>
                <c:ptCount val="12"/>
                <c:pt idx="0">
                  <c:v>4561.3999999999996</c:v>
                </c:pt>
                <c:pt idx="1">
                  <c:v>16552.64</c:v>
                </c:pt>
                <c:pt idx="2">
                  <c:v>2065.41</c:v>
                </c:pt>
                <c:pt idx="3">
                  <c:v>1200.28</c:v>
                </c:pt>
                <c:pt idx="4">
                  <c:v>2938.7699999999995</c:v>
                </c:pt>
                <c:pt idx="5">
                  <c:v>5366.44</c:v>
                </c:pt>
                <c:pt idx="6">
                  <c:v>6096.05</c:v>
                </c:pt>
                <c:pt idx="7">
                  <c:v>3791.0699999999997</c:v>
                </c:pt>
                <c:pt idx="8">
                  <c:v>1761.4</c:v>
                </c:pt>
                <c:pt idx="9">
                  <c:v>6498.4000000000005</c:v>
                </c:pt>
                <c:pt idx="10">
                  <c:v>4454.43</c:v>
                </c:pt>
                <c:pt idx="11">
                  <c:v>2334.96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F-40CF-B84F-46A28C5C5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822368"/>
        <c:axId val="1296826112"/>
      </c:lineChart>
      <c:catAx>
        <c:axId val="12968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26112"/>
        <c:crosses val="autoZero"/>
        <c:auto val="1"/>
        <c:lblAlgn val="ctr"/>
        <c:lblOffset val="100"/>
        <c:noMultiLvlLbl val="0"/>
      </c:catAx>
      <c:valAx>
        <c:axId val="129682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2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[ecommerce_data.xlsx]Rev&amp;Prof!PivotTable1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'Rev&amp;Prof'!$B$3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'Rev&amp;Prof'!$A$4:$A$104</c:f>
              <c:strCache>
                <c:ptCount val="100"/>
                <c:pt idx="0">
                  <c:v>ORD-11261</c:v>
                </c:pt>
                <c:pt idx="1">
                  <c:v>ORD-11314</c:v>
                </c:pt>
                <c:pt idx="2">
                  <c:v>ORD-12270</c:v>
                </c:pt>
                <c:pt idx="3">
                  <c:v>ORD-14329</c:v>
                </c:pt>
                <c:pt idx="4">
                  <c:v>ORD-14608</c:v>
                </c:pt>
                <c:pt idx="5">
                  <c:v>ORD-14659</c:v>
                </c:pt>
                <c:pt idx="6">
                  <c:v>ORD-16585</c:v>
                </c:pt>
                <c:pt idx="7">
                  <c:v>ORD-16766</c:v>
                </c:pt>
                <c:pt idx="8">
                  <c:v>ORD-18512</c:v>
                </c:pt>
                <c:pt idx="9">
                  <c:v>ORD-20182</c:v>
                </c:pt>
                <c:pt idx="10">
                  <c:v>ORD-20916</c:v>
                </c:pt>
                <c:pt idx="11">
                  <c:v>ORD-20985</c:v>
                </c:pt>
                <c:pt idx="12">
                  <c:v>ORD-21443</c:v>
                </c:pt>
                <c:pt idx="13">
                  <c:v>ORD-21530</c:v>
                </c:pt>
                <c:pt idx="14">
                  <c:v>ORD-22442</c:v>
                </c:pt>
                <c:pt idx="15">
                  <c:v>ORD-23010</c:v>
                </c:pt>
                <c:pt idx="16">
                  <c:v>ORD-23202</c:v>
                </c:pt>
                <c:pt idx="17">
                  <c:v>ORD-23994</c:v>
                </c:pt>
                <c:pt idx="18">
                  <c:v>ORD-24378</c:v>
                </c:pt>
                <c:pt idx="19">
                  <c:v>ORD-25885</c:v>
                </c:pt>
                <c:pt idx="20">
                  <c:v>ORD-27653</c:v>
                </c:pt>
                <c:pt idx="21">
                  <c:v>ORD-27743</c:v>
                </c:pt>
                <c:pt idx="22">
                  <c:v>ORD-29721</c:v>
                </c:pt>
                <c:pt idx="23">
                  <c:v>ORD-30329</c:v>
                </c:pt>
                <c:pt idx="24">
                  <c:v>ORD-30627</c:v>
                </c:pt>
                <c:pt idx="25">
                  <c:v>ORD-32755</c:v>
                </c:pt>
                <c:pt idx="26">
                  <c:v>ORD-33656</c:v>
                </c:pt>
                <c:pt idx="27">
                  <c:v>ORD-34007</c:v>
                </c:pt>
                <c:pt idx="28">
                  <c:v>ORD-34319</c:v>
                </c:pt>
                <c:pt idx="29">
                  <c:v>ORD-34407</c:v>
                </c:pt>
                <c:pt idx="30">
                  <c:v>ORD-34679</c:v>
                </c:pt>
                <c:pt idx="31">
                  <c:v>ORD-35144</c:v>
                </c:pt>
                <c:pt idx="32">
                  <c:v>ORD-35783</c:v>
                </c:pt>
                <c:pt idx="33">
                  <c:v>ORD-35817</c:v>
                </c:pt>
                <c:pt idx="34">
                  <c:v>ORD-38418</c:v>
                </c:pt>
                <c:pt idx="35">
                  <c:v>ORD-38423</c:v>
                </c:pt>
                <c:pt idx="36">
                  <c:v>ORD-38469</c:v>
                </c:pt>
                <c:pt idx="37">
                  <c:v>ORD-40186</c:v>
                </c:pt>
                <c:pt idx="38">
                  <c:v>ORD-41285</c:v>
                </c:pt>
                <c:pt idx="39">
                  <c:v>ORD-41292</c:v>
                </c:pt>
                <c:pt idx="40">
                  <c:v>ORD-41810</c:v>
                </c:pt>
                <c:pt idx="41">
                  <c:v>ORD-42171</c:v>
                </c:pt>
                <c:pt idx="42">
                  <c:v>ORD-42475</c:v>
                </c:pt>
                <c:pt idx="43">
                  <c:v>ORD-45059</c:v>
                </c:pt>
                <c:pt idx="44">
                  <c:v>ORD-46136</c:v>
                </c:pt>
                <c:pt idx="45">
                  <c:v>ORD-48008</c:v>
                </c:pt>
                <c:pt idx="46">
                  <c:v>ORD-48863</c:v>
                </c:pt>
                <c:pt idx="47">
                  <c:v>ORD-53430</c:v>
                </c:pt>
                <c:pt idx="48">
                  <c:v>ORD-54481</c:v>
                </c:pt>
                <c:pt idx="49">
                  <c:v>ORD-55695</c:v>
                </c:pt>
                <c:pt idx="50">
                  <c:v>ORD-56552</c:v>
                </c:pt>
                <c:pt idx="51">
                  <c:v>ORD-56651</c:v>
                </c:pt>
                <c:pt idx="52">
                  <c:v>ORD-57123</c:v>
                </c:pt>
                <c:pt idx="53">
                  <c:v>ORD-57811</c:v>
                </c:pt>
                <c:pt idx="54">
                  <c:v>ORD-58590</c:v>
                </c:pt>
                <c:pt idx="55">
                  <c:v>ORD-61020</c:v>
                </c:pt>
                <c:pt idx="56">
                  <c:v>ORD-63660</c:v>
                </c:pt>
                <c:pt idx="57">
                  <c:v>ORD-64136</c:v>
                </c:pt>
                <c:pt idx="58">
                  <c:v>ORD-64400</c:v>
                </c:pt>
                <c:pt idx="59">
                  <c:v>ORD-65482</c:v>
                </c:pt>
                <c:pt idx="60">
                  <c:v>ORD-67096</c:v>
                </c:pt>
                <c:pt idx="61">
                  <c:v>ORD-67799</c:v>
                </c:pt>
                <c:pt idx="62">
                  <c:v>ORD-68182</c:v>
                </c:pt>
                <c:pt idx="63">
                  <c:v>ORD-69018</c:v>
                </c:pt>
                <c:pt idx="64">
                  <c:v>ORD-69764</c:v>
                </c:pt>
                <c:pt idx="65">
                  <c:v>ORD-72349</c:v>
                </c:pt>
                <c:pt idx="66">
                  <c:v>ORD-72751</c:v>
                </c:pt>
                <c:pt idx="67">
                  <c:v>ORD-72778</c:v>
                </c:pt>
                <c:pt idx="68">
                  <c:v>ORD-72869</c:v>
                </c:pt>
                <c:pt idx="69">
                  <c:v>ORD-75314</c:v>
                </c:pt>
                <c:pt idx="70">
                  <c:v>ORD-75539</c:v>
                </c:pt>
                <c:pt idx="71">
                  <c:v>ORD-76016</c:v>
                </c:pt>
                <c:pt idx="72">
                  <c:v>ORD-76902</c:v>
                </c:pt>
                <c:pt idx="73">
                  <c:v>ORD-77417</c:v>
                </c:pt>
                <c:pt idx="74">
                  <c:v>ORD-78384</c:v>
                </c:pt>
                <c:pt idx="75">
                  <c:v>ORD-79139</c:v>
                </c:pt>
                <c:pt idx="76">
                  <c:v>ORD-79672</c:v>
                </c:pt>
                <c:pt idx="77">
                  <c:v>ORD-80067</c:v>
                </c:pt>
                <c:pt idx="78">
                  <c:v>ORD-80707</c:v>
                </c:pt>
                <c:pt idx="79">
                  <c:v>ORD-80867</c:v>
                </c:pt>
                <c:pt idx="80">
                  <c:v>ORD-82876</c:v>
                </c:pt>
                <c:pt idx="81">
                  <c:v>ORD-82922</c:v>
                </c:pt>
                <c:pt idx="82">
                  <c:v>ORD-84355</c:v>
                </c:pt>
                <c:pt idx="83">
                  <c:v>ORD-86629</c:v>
                </c:pt>
                <c:pt idx="84">
                  <c:v>ORD-89122</c:v>
                </c:pt>
                <c:pt idx="85">
                  <c:v>ORD-89452</c:v>
                </c:pt>
                <c:pt idx="86">
                  <c:v>ORD-89906</c:v>
                </c:pt>
                <c:pt idx="87">
                  <c:v>ORD-90569</c:v>
                </c:pt>
                <c:pt idx="88">
                  <c:v>ORD-91254</c:v>
                </c:pt>
                <c:pt idx="89">
                  <c:v>ORD-91396</c:v>
                </c:pt>
                <c:pt idx="90">
                  <c:v>ORD-93614</c:v>
                </c:pt>
                <c:pt idx="91">
                  <c:v>ORD-95794</c:v>
                </c:pt>
                <c:pt idx="92">
                  <c:v>ORD-95911</c:v>
                </c:pt>
                <c:pt idx="93">
                  <c:v>ORD-95990</c:v>
                </c:pt>
                <c:pt idx="94">
                  <c:v>ORD-96037</c:v>
                </c:pt>
                <c:pt idx="95">
                  <c:v>ORD-96061</c:v>
                </c:pt>
                <c:pt idx="96">
                  <c:v>ORD-97756</c:v>
                </c:pt>
                <c:pt idx="97">
                  <c:v>ORD-98162</c:v>
                </c:pt>
                <c:pt idx="98">
                  <c:v>ORD-99328</c:v>
                </c:pt>
                <c:pt idx="99">
                  <c:v>ORD-99790</c:v>
                </c:pt>
              </c:strCache>
            </c:strRef>
          </c:cat>
          <c:val>
            <c:numRef>
              <c:f>'Rev&amp;Prof'!$B$4:$B$104</c:f>
              <c:numCache>
                <c:formatCode>General</c:formatCode>
                <c:ptCount val="100"/>
                <c:pt idx="0">
                  <c:v>836.8</c:v>
                </c:pt>
                <c:pt idx="1">
                  <c:v>615.91</c:v>
                </c:pt>
                <c:pt idx="2">
                  <c:v>898.69</c:v>
                </c:pt>
                <c:pt idx="3">
                  <c:v>826.77</c:v>
                </c:pt>
                <c:pt idx="4">
                  <c:v>497.01</c:v>
                </c:pt>
                <c:pt idx="5">
                  <c:v>0</c:v>
                </c:pt>
                <c:pt idx="6">
                  <c:v>591.53</c:v>
                </c:pt>
                <c:pt idx="7">
                  <c:v>187.48</c:v>
                </c:pt>
                <c:pt idx="8">
                  <c:v>168.34</c:v>
                </c:pt>
                <c:pt idx="9">
                  <c:v>40.950000000000003</c:v>
                </c:pt>
                <c:pt idx="10">
                  <c:v>0</c:v>
                </c:pt>
                <c:pt idx="11">
                  <c:v>696.71</c:v>
                </c:pt>
                <c:pt idx="12">
                  <c:v>556.92999999999995</c:v>
                </c:pt>
                <c:pt idx="13">
                  <c:v>741.63</c:v>
                </c:pt>
                <c:pt idx="14">
                  <c:v>122.06</c:v>
                </c:pt>
                <c:pt idx="15">
                  <c:v>587.64</c:v>
                </c:pt>
                <c:pt idx="16">
                  <c:v>765.69</c:v>
                </c:pt>
                <c:pt idx="17">
                  <c:v>411.81</c:v>
                </c:pt>
                <c:pt idx="18">
                  <c:v>235.26</c:v>
                </c:pt>
                <c:pt idx="19">
                  <c:v>978.63</c:v>
                </c:pt>
                <c:pt idx="20">
                  <c:v>209.32</c:v>
                </c:pt>
                <c:pt idx="21">
                  <c:v>155.76</c:v>
                </c:pt>
                <c:pt idx="22">
                  <c:v>278.89999999999998</c:v>
                </c:pt>
                <c:pt idx="23">
                  <c:v>593.92999999999995</c:v>
                </c:pt>
                <c:pt idx="24">
                  <c:v>814.68</c:v>
                </c:pt>
                <c:pt idx="25">
                  <c:v>1410.84</c:v>
                </c:pt>
                <c:pt idx="26">
                  <c:v>446.19</c:v>
                </c:pt>
                <c:pt idx="27">
                  <c:v>0</c:v>
                </c:pt>
                <c:pt idx="28">
                  <c:v>531.05999999999995</c:v>
                </c:pt>
                <c:pt idx="29">
                  <c:v>275.10000000000002</c:v>
                </c:pt>
                <c:pt idx="30">
                  <c:v>0</c:v>
                </c:pt>
                <c:pt idx="31">
                  <c:v>203.63</c:v>
                </c:pt>
                <c:pt idx="32">
                  <c:v>0</c:v>
                </c:pt>
                <c:pt idx="33">
                  <c:v>933.58</c:v>
                </c:pt>
                <c:pt idx="34">
                  <c:v>681.38</c:v>
                </c:pt>
                <c:pt idx="35">
                  <c:v>660.98</c:v>
                </c:pt>
                <c:pt idx="36">
                  <c:v>920.37</c:v>
                </c:pt>
                <c:pt idx="37">
                  <c:v>266.7</c:v>
                </c:pt>
                <c:pt idx="38">
                  <c:v>38</c:v>
                </c:pt>
                <c:pt idx="39">
                  <c:v>882.96</c:v>
                </c:pt>
                <c:pt idx="40">
                  <c:v>881.02</c:v>
                </c:pt>
                <c:pt idx="41">
                  <c:v>351.89</c:v>
                </c:pt>
                <c:pt idx="42">
                  <c:v>522.02</c:v>
                </c:pt>
                <c:pt idx="43">
                  <c:v>546.04</c:v>
                </c:pt>
                <c:pt idx="44">
                  <c:v>0</c:v>
                </c:pt>
                <c:pt idx="45">
                  <c:v>942.76</c:v>
                </c:pt>
                <c:pt idx="46">
                  <c:v>736.71</c:v>
                </c:pt>
                <c:pt idx="47">
                  <c:v>141.49</c:v>
                </c:pt>
                <c:pt idx="48">
                  <c:v>266.48</c:v>
                </c:pt>
                <c:pt idx="49">
                  <c:v>443.13</c:v>
                </c:pt>
                <c:pt idx="50">
                  <c:v>457.16</c:v>
                </c:pt>
                <c:pt idx="51">
                  <c:v>222.72</c:v>
                </c:pt>
                <c:pt idx="52">
                  <c:v>730.92</c:v>
                </c:pt>
                <c:pt idx="53">
                  <c:v>233.92</c:v>
                </c:pt>
                <c:pt idx="54">
                  <c:v>504.05</c:v>
                </c:pt>
                <c:pt idx="55">
                  <c:v>0</c:v>
                </c:pt>
                <c:pt idx="56">
                  <c:v>0</c:v>
                </c:pt>
                <c:pt idx="57">
                  <c:v>69.48</c:v>
                </c:pt>
                <c:pt idx="58">
                  <c:v>600.29</c:v>
                </c:pt>
                <c:pt idx="59">
                  <c:v>336.02</c:v>
                </c:pt>
                <c:pt idx="60">
                  <c:v>588.98</c:v>
                </c:pt>
                <c:pt idx="61">
                  <c:v>101.19</c:v>
                </c:pt>
                <c:pt idx="62">
                  <c:v>343.24</c:v>
                </c:pt>
                <c:pt idx="63">
                  <c:v>1290.52</c:v>
                </c:pt>
                <c:pt idx="64">
                  <c:v>944.54</c:v>
                </c:pt>
                <c:pt idx="65">
                  <c:v>865.77</c:v>
                </c:pt>
                <c:pt idx="66">
                  <c:v>10000</c:v>
                </c:pt>
                <c:pt idx="67">
                  <c:v>796.84</c:v>
                </c:pt>
                <c:pt idx="68">
                  <c:v>233.11</c:v>
                </c:pt>
                <c:pt idx="69">
                  <c:v>860.99</c:v>
                </c:pt>
                <c:pt idx="70">
                  <c:v>582.13</c:v>
                </c:pt>
                <c:pt idx="71">
                  <c:v>438.19</c:v>
                </c:pt>
                <c:pt idx="72">
                  <c:v>206.19</c:v>
                </c:pt>
                <c:pt idx="73">
                  <c:v>413.13</c:v>
                </c:pt>
                <c:pt idx="74">
                  <c:v>0</c:v>
                </c:pt>
                <c:pt idx="75">
                  <c:v>160.16</c:v>
                </c:pt>
                <c:pt idx="76">
                  <c:v>538.35</c:v>
                </c:pt>
                <c:pt idx="77">
                  <c:v>523.01</c:v>
                </c:pt>
                <c:pt idx="78">
                  <c:v>596.15</c:v>
                </c:pt>
                <c:pt idx="79">
                  <c:v>752.13</c:v>
                </c:pt>
                <c:pt idx="80">
                  <c:v>817.46</c:v>
                </c:pt>
                <c:pt idx="81">
                  <c:v>372.28</c:v>
                </c:pt>
                <c:pt idx="82">
                  <c:v>389.05</c:v>
                </c:pt>
                <c:pt idx="83">
                  <c:v>418.38</c:v>
                </c:pt>
                <c:pt idx="84">
                  <c:v>587.67999999999995</c:v>
                </c:pt>
                <c:pt idx="85">
                  <c:v>849.07</c:v>
                </c:pt>
                <c:pt idx="86">
                  <c:v>472.14</c:v>
                </c:pt>
                <c:pt idx="87">
                  <c:v>365.34</c:v>
                </c:pt>
                <c:pt idx="88">
                  <c:v>-100</c:v>
                </c:pt>
                <c:pt idx="89">
                  <c:v>616.63</c:v>
                </c:pt>
                <c:pt idx="90">
                  <c:v>552.51</c:v>
                </c:pt>
                <c:pt idx="91">
                  <c:v>530.52</c:v>
                </c:pt>
                <c:pt idx="92">
                  <c:v>896.38</c:v>
                </c:pt>
                <c:pt idx="93">
                  <c:v>789.64</c:v>
                </c:pt>
                <c:pt idx="94">
                  <c:v>242.52</c:v>
                </c:pt>
                <c:pt idx="95">
                  <c:v>247.82</c:v>
                </c:pt>
                <c:pt idx="96">
                  <c:v>569.38</c:v>
                </c:pt>
                <c:pt idx="97">
                  <c:v>163.16</c:v>
                </c:pt>
                <c:pt idx="98">
                  <c:v>868.67</c:v>
                </c:pt>
                <c:pt idx="99">
                  <c:v>688.68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7-4A6E-966E-A840F6B6D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095552"/>
        <c:axId val="1306092224"/>
      </c:barChart>
      <c:catAx>
        <c:axId val="130609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92224"/>
        <c:crosses val="autoZero"/>
        <c:auto val="1"/>
        <c:lblAlgn val="ctr"/>
        <c:lblOffset val="100"/>
        <c:noMultiLvlLbl val="0"/>
      </c:catAx>
      <c:valAx>
        <c:axId val="13060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9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[ecommerce_data.xlsx]Peak Monthly 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'Peak 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'Peak 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'Peak Monthly sales'!$B$4:$B$16</c:f>
              <c:numCache>
                <c:formatCode>General</c:formatCode>
                <c:ptCount val="12"/>
                <c:pt idx="0">
                  <c:v>4561.3999999999996</c:v>
                </c:pt>
                <c:pt idx="1">
                  <c:v>16552.64</c:v>
                </c:pt>
                <c:pt idx="2">
                  <c:v>2065.41</c:v>
                </c:pt>
                <c:pt idx="3">
                  <c:v>1200.28</c:v>
                </c:pt>
                <c:pt idx="4">
                  <c:v>2938.7699999999995</c:v>
                </c:pt>
                <c:pt idx="5">
                  <c:v>5366.44</c:v>
                </c:pt>
                <c:pt idx="6">
                  <c:v>6096.05</c:v>
                </c:pt>
                <c:pt idx="7">
                  <c:v>3791.0699999999997</c:v>
                </c:pt>
                <c:pt idx="8">
                  <c:v>1761.4</c:v>
                </c:pt>
                <c:pt idx="9">
                  <c:v>6498.4000000000005</c:v>
                </c:pt>
                <c:pt idx="10">
                  <c:v>4454.43</c:v>
                </c:pt>
                <c:pt idx="11">
                  <c:v>2334.96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5-4DB6-A48A-C833AA9A6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822368"/>
        <c:axId val="1296826112"/>
      </c:lineChart>
      <c:catAx>
        <c:axId val="12968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26112"/>
        <c:crosses val="autoZero"/>
        <c:auto val="1"/>
        <c:lblAlgn val="ctr"/>
        <c:lblOffset val="100"/>
        <c:noMultiLvlLbl val="0"/>
      </c:catAx>
      <c:valAx>
        <c:axId val="129682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2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[ecommerce_data.xlsx]Avg sales!PivotTable3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sales'!$A$4:$A$104</c:f>
              <c:strCache>
                <c:ptCount val="100"/>
                <c:pt idx="0">
                  <c:v>ORD-11261</c:v>
                </c:pt>
                <c:pt idx="1">
                  <c:v>ORD-11314</c:v>
                </c:pt>
                <c:pt idx="2">
                  <c:v>ORD-12270</c:v>
                </c:pt>
                <c:pt idx="3">
                  <c:v>ORD-14329</c:v>
                </c:pt>
                <c:pt idx="4">
                  <c:v>ORD-14608</c:v>
                </c:pt>
                <c:pt idx="5">
                  <c:v>ORD-14659</c:v>
                </c:pt>
                <c:pt idx="6">
                  <c:v>ORD-16585</c:v>
                </c:pt>
                <c:pt idx="7">
                  <c:v>ORD-16766</c:v>
                </c:pt>
                <c:pt idx="8">
                  <c:v>ORD-18512</c:v>
                </c:pt>
                <c:pt idx="9">
                  <c:v>ORD-20182</c:v>
                </c:pt>
                <c:pt idx="10">
                  <c:v>ORD-20916</c:v>
                </c:pt>
                <c:pt idx="11">
                  <c:v>ORD-20985</c:v>
                </c:pt>
                <c:pt idx="12">
                  <c:v>ORD-21443</c:v>
                </c:pt>
                <c:pt idx="13">
                  <c:v>ORD-21530</c:v>
                </c:pt>
                <c:pt idx="14">
                  <c:v>ORD-22442</c:v>
                </c:pt>
                <c:pt idx="15">
                  <c:v>ORD-23010</c:v>
                </c:pt>
                <c:pt idx="16">
                  <c:v>ORD-23202</c:v>
                </c:pt>
                <c:pt idx="17">
                  <c:v>ORD-23994</c:v>
                </c:pt>
                <c:pt idx="18">
                  <c:v>ORD-24378</c:v>
                </c:pt>
                <c:pt idx="19">
                  <c:v>ORD-25885</c:v>
                </c:pt>
                <c:pt idx="20">
                  <c:v>ORD-27653</c:v>
                </c:pt>
                <c:pt idx="21">
                  <c:v>ORD-27743</c:v>
                </c:pt>
                <c:pt idx="22">
                  <c:v>ORD-29721</c:v>
                </c:pt>
                <c:pt idx="23">
                  <c:v>ORD-30329</c:v>
                </c:pt>
                <c:pt idx="24">
                  <c:v>ORD-30627</c:v>
                </c:pt>
                <c:pt idx="25">
                  <c:v>ORD-32755</c:v>
                </c:pt>
                <c:pt idx="26">
                  <c:v>ORD-33656</c:v>
                </c:pt>
                <c:pt idx="27">
                  <c:v>ORD-34007</c:v>
                </c:pt>
                <c:pt idx="28">
                  <c:v>ORD-34319</c:v>
                </c:pt>
                <c:pt idx="29">
                  <c:v>ORD-34407</c:v>
                </c:pt>
                <c:pt idx="30">
                  <c:v>ORD-34679</c:v>
                </c:pt>
                <c:pt idx="31">
                  <c:v>ORD-35144</c:v>
                </c:pt>
                <c:pt idx="32">
                  <c:v>ORD-35783</c:v>
                </c:pt>
                <c:pt idx="33">
                  <c:v>ORD-35817</c:v>
                </c:pt>
                <c:pt idx="34">
                  <c:v>ORD-38418</c:v>
                </c:pt>
                <c:pt idx="35">
                  <c:v>ORD-38423</c:v>
                </c:pt>
                <c:pt idx="36">
                  <c:v>ORD-38469</c:v>
                </c:pt>
                <c:pt idx="37">
                  <c:v>ORD-40186</c:v>
                </c:pt>
                <c:pt idx="38">
                  <c:v>ORD-41285</c:v>
                </c:pt>
                <c:pt idx="39">
                  <c:v>ORD-41292</c:v>
                </c:pt>
                <c:pt idx="40">
                  <c:v>ORD-41810</c:v>
                </c:pt>
                <c:pt idx="41">
                  <c:v>ORD-42171</c:v>
                </c:pt>
                <c:pt idx="42">
                  <c:v>ORD-42475</c:v>
                </c:pt>
                <c:pt idx="43">
                  <c:v>ORD-45059</c:v>
                </c:pt>
                <c:pt idx="44">
                  <c:v>ORD-46136</c:v>
                </c:pt>
                <c:pt idx="45">
                  <c:v>ORD-48008</c:v>
                </c:pt>
                <c:pt idx="46">
                  <c:v>ORD-48863</c:v>
                </c:pt>
                <c:pt idx="47">
                  <c:v>ORD-53430</c:v>
                </c:pt>
                <c:pt idx="48">
                  <c:v>ORD-54481</c:v>
                </c:pt>
                <c:pt idx="49">
                  <c:v>ORD-55695</c:v>
                </c:pt>
                <c:pt idx="50">
                  <c:v>ORD-56552</c:v>
                </c:pt>
                <c:pt idx="51">
                  <c:v>ORD-56651</c:v>
                </c:pt>
                <c:pt idx="52">
                  <c:v>ORD-57123</c:v>
                </c:pt>
                <c:pt idx="53">
                  <c:v>ORD-57811</c:v>
                </c:pt>
                <c:pt idx="54">
                  <c:v>ORD-58590</c:v>
                </c:pt>
                <c:pt idx="55">
                  <c:v>ORD-61020</c:v>
                </c:pt>
                <c:pt idx="56">
                  <c:v>ORD-63660</c:v>
                </c:pt>
                <c:pt idx="57">
                  <c:v>ORD-64136</c:v>
                </c:pt>
                <c:pt idx="58">
                  <c:v>ORD-64400</c:v>
                </c:pt>
                <c:pt idx="59">
                  <c:v>ORD-65482</c:v>
                </c:pt>
                <c:pt idx="60">
                  <c:v>ORD-67096</c:v>
                </c:pt>
                <c:pt idx="61">
                  <c:v>ORD-67799</c:v>
                </c:pt>
                <c:pt idx="62">
                  <c:v>ORD-68182</c:v>
                </c:pt>
                <c:pt idx="63">
                  <c:v>ORD-69018</c:v>
                </c:pt>
                <c:pt idx="64">
                  <c:v>ORD-69764</c:v>
                </c:pt>
                <c:pt idx="65">
                  <c:v>ORD-72349</c:v>
                </c:pt>
                <c:pt idx="66">
                  <c:v>ORD-72751</c:v>
                </c:pt>
                <c:pt idx="67">
                  <c:v>ORD-72778</c:v>
                </c:pt>
                <c:pt idx="68">
                  <c:v>ORD-72869</c:v>
                </c:pt>
                <c:pt idx="69">
                  <c:v>ORD-75314</c:v>
                </c:pt>
                <c:pt idx="70">
                  <c:v>ORD-75539</c:v>
                </c:pt>
                <c:pt idx="71">
                  <c:v>ORD-76016</c:v>
                </c:pt>
                <c:pt idx="72">
                  <c:v>ORD-76902</c:v>
                </c:pt>
                <c:pt idx="73">
                  <c:v>ORD-77417</c:v>
                </c:pt>
                <c:pt idx="74">
                  <c:v>ORD-78384</c:v>
                </c:pt>
                <c:pt idx="75">
                  <c:v>ORD-79139</c:v>
                </c:pt>
                <c:pt idx="76">
                  <c:v>ORD-79672</c:v>
                </c:pt>
                <c:pt idx="77">
                  <c:v>ORD-80067</c:v>
                </c:pt>
                <c:pt idx="78">
                  <c:v>ORD-80707</c:v>
                </c:pt>
                <c:pt idx="79">
                  <c:v>ORD-80867</c:v>
                </c:pt>
                <c:pt idx="80">
                  <c:v>ORD-82876</c:v>
                </c:pt>
                <c:pt idx="81">
                  <c:v>ORD-82922</c:v>
                </c:pt>
                <c:pt idx="82">
                  <c:v>ORD-84355</c:v>
                </c:pt>
                <c:pt idx="83">
                  <c:v>ORD-86629</c:v>
                </c:pt>
                <c:pt idx="84">
                  <c:v>ORD-89122</c:v>
                </c:pt>
                <c:pt idx="85">
                  <c:v>ORD-89452</c:v>
                </c:pt>
                <c:pt idx="86">
                  <c:v>ORD-89906</c:v>
                </c:pt>
                <c:pt idx="87">
                  <c:v>ORD-90569</c:v>
                </c:pt>
                <c:pt idx="88">
                  <c:v>ORD-91254</c:v>
                </c:pt>
                <c:pt idx="89">
                  <c:v>ORD-91396</c:v>
                </c:pt>
                <c:pt idx="90">
                  <c:v>ORD-93614</c:v>
                </c:pt>
                <c:pt idx="91">
                  <c:v>ORD-95794</c:v>
                </c:pt>
                <c:pt idx="92">
                  <c:v>ORD-95911</c:v>
                </c:pt>
                <c:pt idx="93">
                  <c:v>ORD-95990</c:v>
                </c:pt>
                <c:pt idx="94">
                  <c:v>ORD-96037</c:v>
                </c:pt>
                <c:pt idx="95">
                  <c:v>ORD-96061</c:v>
                </c:pt>
                <c:pt idx="96">
                  <c:v>ORD-97756</c:v>
                </c:pt>
                <c:pt idx="97">
                  <c:v>ORD-98162</c:v>
                </c:pt>
                <c:pt idx="98">
                  <c:v>ORD-99328</c:v>
                </c:pt>
                <c:pt idx="99">
                  <c:v>ORD-99790</c:v>
                </c:pt>
              </c:strCache>
            </c:strRef>
          </c:cat>
          <c:val>
            <c:numRef>
              <c:f>'Avg sales'!$B$4:$B$104</c:f>
              <c:numCache>
                <c:formatCode>General</c:formatCode>
                <c:ptCount val="10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-5</c:v>
                </c:pt>
                <c:pt idx="7">
                  <c:v>4</c:v>
                </c:pt>
                <c:pt idx="8">
                  <c:v>5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0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2</c:v>
                </c:pt>
                <c:pt idx="28">
                  <c:v>1</c:v>
                </c:pt>
                <c:pt idx="29">
                  <c:v>4</c:v>
                </c:pt>
                <c:pt idx="30">
                  <c:v>2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5</c:v>
                </c:pt>
                <c:pt idx="42">
                  <c:v>0</c:v>
                </c:pt>
                <c:pt idx="43">
                  <c:v>3</c:v>
                </c:pt>
                <c:pt idx="44">
                  <c:v>5</c:v>
                </c:pt>
                <c:pt idx="45">
                  <c:v>2</c:v>
                </c:pt>
                <c:pt idx="46">
                  <c:v>4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5</c:v>
                </c:pt>
                <c:pt idx="60">
                  <c:v>4</c:v>
                </c:pt>
                <c:pt idx="61">
                  <c:v>4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2</c:v>
                </c:pt>
                <c:pt idx="66">
                  <c:v>-2</c:v>
                </c:pt>
                <c:pt idx="67">
                  <c:v>2</c:v>
                </c:pt>
                <c:pt idx="68">
                  <c:v>3</c:v>
                </c:pt>
                <c:pt idx="69">
                  <c:v>2</c:v>
                </c:pt>
                <c:pt idx="70">
                  <c:v>1</c:v>
                </c:pt>
                <c:pt idx="71">
                  <c:v>4</c:v>
                </c:pt>
                <c:pt idx="72">
                  <c:v>1</c:v>
                </c:pt>
                <c:pt idx="73">
                  <c:v>2</c:v>
                </c:pt>
                <c:pt idx="74">
                  <c:v>0</c:v>
                </c:pt>
                <c:pt idx="75">
                  <c:v>1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1</c:v>
                </c:pt>
                <c:pt idx="83">
                  <c:v>2</c:v>
                </c:pt>
                <c:pt idx="84">
                  <c:v>5</c:v>
                </c:pt>
                <c:pt idx="85">
                  <c:v>5</c:v>
                </c:pt>
                <c:pt idx="86">
                  <c:v>3</c:v>
                </c:pt>
                <c:pt idx="87">
                  <c:v>1</c:v>
                </c:pt>
                <c:pt idx="88">
                  <c:v>3</c:v>
                </c:pt>
                <c:pt idx="89">
                  <c:v>5</c:v>
                </c:pt>
                <c:pt idx="90">
                  <c:v>1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2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E-4EC6-8EB9-DF4E8A724B5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24470640"/>
        <c:axId val="1524477712"/>
      </c:barChart>
      <c:catAx>
        <c:axId val="15244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77712"/>
        <c:crosses val="autoZero"/>
        <c:auto val="1"/>
        <c:lblAlgn val="ctr"/>
        <c:lblOffset val="100"/>
        <c:noMultiLvlLbl val="0"/>
      </c:catAx>
      <c:valAx>
        <c:axId val="1524477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244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[ecommerce_data.xlsx]category!PivotTable4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wise orders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232931726907633E-2"/>
          <c:y val="0.26945576655859188"/>
          <c:w val="0.86341333839294188"/>
          <c:h val="0.46072255673923113"/>
        </c:manualLayout>
      </c:layout>
      <c:lineChart>
        <c:grouping val="standar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category!$A$4:$A$12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electronic</c:v>
                </c:pt>
                <c:pt idx="3">
                  <c:v>Electronics</c:v>
                </c:pt>
                <c:pt idx="4">
                  <c:v>Home</c:v>
                </c:pt>
                <c:pt idx="5">
                  <c:v>nan</c:v>
                </c:pt>
                <c:pt idx="6">
                  <c:v>Sports</c:v>
                </c:pt>
                <c:pt idx="7">
                  <c:v>(blank)</c:v>
                </c:pt>
              </c:strCache>
            </c:strRef>
          </c:cat>
          <c:val>
            <c:numRef>
              <c:f>category!$B$4:$B$12</c:f>
              <c:numCache>
                <c:formatCode>General</c:formatCode>
                <c:ptCount val="8"/>
                <c:pt idx="0">
                  <c:v>74</c:v>
                </c:pt>
                <c:pt idx="1">
                  <c:v>44</c:v>
                </c:pt>
                <c:pt idx="2">
                  <c:v>5</c:v>
                </c:pt>
                <c:pt idx="3">
                  <c:v>38</c:v>
                </c:pt>
                <c:pt idx="4">
                  <c:v>59</c:v>
                </c:pt>
                <c:pt idx="5">
                  <c:v>6</c:v>
                </c:pt>
                <c:pt idx="6">
                  <c:v>44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F-4304-9B50-E1F79E31B4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41840384"/>
        <c:axId val="1541842880"/>
      </c:lineChart>
      <c:catAx>
        <c:axId val="154184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42880"/>
        <c:crosses val="autoZero"/>
        <c:auto val="1"/>
        <c:lblAlgn val="ctr"/>
        <c:lblOffset val="100"/>
        <c:noMultiLvlLbl val="0"/>
      </c:catAx>
      <c:valAx>
        <c:axId val="1541842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4184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[ecommerce_data.xlsx]Monthly sales!PivotTable5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Sales Monthly</a:t>
            </a:r>
          </a:p>
        </c:rich>
      </c:tx>
      <c:layout>
        <c:manualLayout>
          <c:xMode val="edge"/>
          <c:yMode val="edge"/>
          <c:x val="0.33028455818022751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959701381666913"/>
          <c:y val="0.21470099230161285"/>
          <c:w val="0.66543437082157186"/>
          <c:h val="0.684190205778181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General</c:formatCode>
                <c:ptCount val="12"/>
                <c:pt idx="0">
                  <c:v>29</c:v>
                </c:pt>
                <c:pt idx="1">
                  <c:v>34</c:v>
                </c:pt>
                <c:pt idx="2">
                  <c:v>17</c:v>
                </c:pt>
                <c:pt idx="3">
                  <c:v>2</c:v>
                </c:pt>
                <c:pt idx="4">
                  <c:v>33</c:v>
                </c:pt>
                <c:pt idx="5">
                  <c:v>27</c:v>
                </c:pt>
                <c:pt idx="6">
                  <c:v>33</c:v>
                </c:pt>
                <c:pt idx="7">
                  <c:v>11</c:v>
                </c:pt>
                <c:pt idx="8">
                  <c:v>18</c:v>
                </c:pt>
                <c:pt idx="9">
                  <c:v>31</c:v>
                </c:pt>
                <c:pt idx="10">
                  <c:v>30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2-4C56-BE6D-A56314263E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24473136"/>
        <c:axId val="1524486032"/>
      </c:barChart>
      <c:catAx>
        <c:axId val="152447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86032"/>
        <c:crosses val="autoZero"/>
        <c:auto val="1"/>
        <c:lblAlgn val="ctr"/>
        <c:lblOffset val="100"/>
        <c:noMultiLvlLbl val="0"/>
      </c:catAx>
      <c:valAx>
        <c:axId val="1524486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4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[ecommerce_data.xlsx]Payment method 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method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28-48BB-8874-CAA080D9D6E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28-48BB-8874-CAA080D9D6E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28-48BB-8874-CAA080D9D6E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28-48BB-8874-CAA080D9D6E1}"/>
              </c:ext>
            </c:extLst>
          </c:dPt>
          <c:cat>
            <c:strRef>
              <c:f>'Payment method '!$A$4:$A$8</c:f>
              <c:strCache>
                <c:ptCount val="4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'Payment method '!$B$4:$B$8</c:f>
              <c:numCache>
                <c:formatCode>General</c:formatCode>
                <c:ptCount val="4"/>
                <c:pt idx="0">
                  <c:v>23</c:v>
                </c:pt>
                <c:pt idx="1">
                  <c:v>33</c:v>
                </c:pt>
                <c:pt idx="2">
                  <c:v>23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28-48BB-8874-CAA080D9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83</xdr:row>
      <xdr:rowOff>110490</xdr:rowOff>
    </xdr:from>
    <xdr:to>
      <xdr:col>15</xdr:col>
      <xdr:colOff>167640</xdr:colOff>
      <xdr:row>98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AF807-5682-4213-837B-B0EFAC79F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6</xdr:row>
      <xdr:rowOff>64770</xdr:rowOff>
    </xdr:from>
    <xdr:to>
      <xdr:col>11</xdr:col>
      <xdr:colOff>144780</xdr:colOff>
      <xdr:row>21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184467-63A5-4D97-A059-1AE04DD68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6</xdr:row>
      <xdr:rowOff>64770</xdr:rowOff>
    </xdr:from>
    <xdr:to>
      <xdr:col>11</xdr:col>
      <xdr:colOff>335280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1FB4C-6008-4F61-ABD6-F4F3F0F12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6</xdr:row>
      <xdr:rowOff>64770</xdr:rowOff>
    </xdr:from>
    <xdr:to>
      <xdr:col>11</xdr:col>
      <xdr:colOff>60960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B0137-9A4D-492B-855E-A26C970C5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83</xdr:row>
      <xdr:rowOff>110490</xdr:rowOff>
    </xdr:from>
    <xdr:to>
      <xdr:col>12</xdr:col>
      <xdr:colOff>76200</xdr:colOff>
      <xdr:row>98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74B865-F853-4770-9BA6-24A26D251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5</xdr:row>
      <xdr:rowOff>110490</xdr:rowOff>
    </xdr:from>
    <xdr:to>
      <xdr:col>11</xdr:col>
      <xdr:colOff>373380</xdr:colOff>
      <xdr:row>20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D7528-3C2A-47A9-99C1-54568708A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15240</xdr:rowOff>
    </xdr:from>
    <xdr:to>
      <xdr:col>7</xdr:col>
      <xdr:colOff>419100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4873D-6A64-493F-B2AB-116ECEEB6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388620</xdr:colOff>
      <xdr:row>2</xdr:row>
      <xdr:rowOff>142602</xdr:rowOff>
    </xdr:from>
    <xdr:to>
      <xdr:col>15</xdr:col>
      <xdr:colOff>83820</xdr:colOff>
      <xdr:row>17</xdr:row>
      <xdr:rowOff>142603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C3923B-0239-4809-8761-4392840E2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26240</xdr:rowOff>
    </xdr:from>
    <xdr:to>
      <xdr:col>26</xdr:col>
      <xdr:colOff>254000</xdr:colOff>
      <xdr:row>2</xdr:row>
      <xdr:rowOff>115275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81C9EA2-68D4-47F3-90FC-7A7C31896EA2}"/>
            </a:ext>
          </a:extLst>
        </xdr:cNvPr>
        <xdr:cNvSpPr/>
      </xdr:nvSpPr>
      <xdr:spPr>
        <a:xfrm>
          <a:off x="0" y="26240"/>
          <a:ext cx="16103600" cy="4446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E - Commerce</a:t>
          </a:r>
          <a:r>
            <a:rPr lang="en-IN" sz="2400" baseline="0"/>
            <a:t> - </a:t>
          </a:r>
          <a:r>
            <a:rPr lang="en-IN" sz="2400"/>
            <a:t>Sales</a:t>
          </a:r>
          <a:r>
            <a:rPr lang="en-IN" sz="2400" baseline="0"/>
            <a:t> Dashboard</a:t>
          </a:r>
          <a:endParaRPr lang="en-IN" sz="2400"/>
        </a:p>
      </xdr:txBody>
    </xdr:sp>
    <xdr:clientData/>
  </xdr:twoCellAnchor>
  <xdr:twoCellAnchor>
    <xdr:from>
      <xdr:col>15</xdr:col>
      <xdr:colOff>121557</xdr:colOff>
      <xdr:row>2</xdr:row>
      <xdr:rowOff>130628</xdr:rowOff>
    </xdr:from>
    <xdr:to>
      <xdr:col>26</xdr:col>
      <xdr:colOff>241301</xdr:colOff>
      <xdr:row>18</xdr:row>
      <xdr:rowOff>25399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E19544-685F-40CF-B7EA-DBFCD6240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63500</xdr:rowOff>
    </xdr:from>
    <xdr:to>
      <xdr:col>10</xdr:col>
      <xdr:colOff>228600</xdr:colOff>
      <xdr:row>37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9D1F75-616F-416A-8831-ED78AD2FF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228600</xdr:colOff>
      <xdr:row>18</xdr:row>
      <xdr:rowOff>50800</xdr:rowOff>
    </xdr:from>
    <xdr:to>
      <xdr:col>19</xdr:col>
      <xdr:colOff>127000</xdr:colOff>
      <xdr:row>37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013ED0-D26C-4C86-B70B-8208807E0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139700</xdr:colOff>
      <xdr:row>18</xdr:row>
      <xdr:rowOff>38100</xdr:rowOff>
    </xdr:from>
    <xdr:to>
      <xdr:col>26</xdr:col>
      <xdr:colOff>215900</xdr:colOff>
      <xdr:row>37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885FFD-61FD-4809-9EB8-8EED8F1F6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eep L" refreshedDate="46101.447944791667" createdVersion="7" refreshedVersion="7" minRefreshableVersion="3" recordCount="103" xr:uid="{21C22CE2-AE1D-4C04-AA48-EFB74B83007C}">
  <cacheSource type="worksheet">
    <worksheetSource name="Table1_2"/>
  </cacheSource>
  <cacheFields count="12">
    <cacheField name="ID" numFmtId="0">
      <sharedItems containsSemiMixedTypes="0" containsString="0" containsNumber="1" containsInteger="1" minValue="100" maxValue="199"/>
    </cacheField>
    <cacheField name=" Customer_Name" numFmtId="0">
      <sharedItems/>
    </cacheField>
    <cacheField name="Order_ID" numFmtId="0">
      <sharedItems count="100">
        <s v="ORD-41285"/>
        <s v="ORD-35783"/>
        <s v="ORD-84355"/>
        <s v="ORD-57811"/>
        <s v="ORD-93614"/>
        <s v="ORD-22442"/>
        <s v="ORD-25885"/>
        <s v="ORD-89122"/>
        <s v="ORD-64400"/>
        <s v="ORD-18512"/>
        <s v="ORD-61020"/>
        <s v="ORD-72349"/>
        <s v="ORD-80867"/>
        <s v="ORD-23994"/>
        <s v="ORD-77417"/>
        <s v="ORD-72778"/>
        <s v="ORD-63660"/>
        <s v="ORD-72751"/>
        <s v="ORD-96061"/>
        <s v="ORD-76016"/>
        <s v="ORD-14659"/>
        <s v="ORD-80067"/>
        <s v="ORD-21443"/>
        <s v="ORD-11314"/>
        <s v="ORD-46136"/>
        <s v="ORD-23202"/>
        <s v="ORD-11261"/>
        <s v="ORD-65482"/>
        <s v="ORD-12270"/>
        <s v="ORD-48863"/>
        <s v="ORD-34007"/>
        <s v="ORD-91396"/>
        <s v="ORD-40186"/>
        <s v="ORD-68182"/>
        <s v="ORD-16585"/>
        <s v="ORD-33656"/>
        <s v="ORD-20985"/>
        <s v="ORD-91254"/>
        <s v="ORD-34319"/>
        <s v="ORD-38418"/>
        <s v="ORD-67096"/>
        <s v="ORD-45059"/>
        <s v="ORD-69018"/>
        <s v="ORD-14329"/>
        <s v="ORD-89452"/>
        <s v="ORD-75314"/>
        <s v="ORD-32755"/>
        <s v="ORD-80707"/>
        <s v="ORD-38423"/>
        <s v="ORD-95911"/>
        <s v="ORD-76902"/>
        <s v="ORD-56552"/>
        <s v="ORD-72869"/>
        <s v="ORD-29721"/>
        <s v="ORD-95990"/>
        <s v="ORD-20182"/>
        <s v="ORD-34679"/>
        <s v="ORD-34407"/>
        <s v="ORD-35817"/>
        <s v="ORD-98162"/>
        <s v="ORD-96037"/>
        <s v="ORD-27653"/>
        <s v="ORD-27743"/>
        <s v="ORD-24378"/>
        <s v="ORD-23010"/>
        <s v="ORD-55695"/>
        <s v="ORD-97756"/>
        <s v="ORD-30329"/>
        <s v="ORD-53430"/>
        <s v="ORD-75539"/>
        <s v="ORD-21530"/>
        <s v="ORD-99790"/>
        <s v="ORD-48008"/>
        <s v="ORD-42171"/>
        <s v="ORD-16766"/>
        <s v="ORD-56651"/>
        <s v="ORD-95794"/>
        <s v="ORD-64136"/>
        <s v="ORD-89906"/>
        <s v="ORD-99328"/>
        <s v="ORD-86629"/>
        <s v="ORD-54481"/>
        <s v="ORD-79672"/>
        <s v="ORD-20916"/>
        <s v="ORD-67799"/>
        <s v="ORD-57123"/>
        <s v="ORD-90569"/>
        <s v="ORD-41292"/>
        <s v="ORD-58590"/>
        <s v="ORD-30627"/>
        <s v="ORD-38469"/>
        <s v="ORD-41810"/>
        <s v="ORD-35144"/>
        <s v="ORD-42475"/>
        <s v="ORD-69764"/>
        <s v="ORD-82876"/>
        <s v="ORD-78384"/>
        <s v="ORD-79139"/>
        <s v="ORD-14608"/>
        <s v="ORD-82922"/>
      </sharedItems>
    </cacheField>
    <cacheField name="Order_Date" numFmtId="14">
      <sharedItems containsNonDate="0" containsDate="1" containsString="0" containsBlank="1" minDate="2023-01-05T00:00:00" maxDate="2025-11-07T00:00:00"/>
    </cacheField>
    <cacheField name="Monthly" numFmtId="0">
      <sharedItems count="12">
        <s v="Nov"/>
        <s v="Jul"/>
        <s v="Dec"/>
        <s v="Mar"/>
        <s v="Oct"/>
        <s v="Feb"/>
        <s v="Jan"/>
        <s v="May"/>
        <s v="Sep"/>
        <s v="Jun"/>
        <s v="Aug"/>
        <s v="Apr"/>
      </sharedItems>
    </cacheField>
    <cacheField name=" Product" numFmtId="0">
      <sharedItems/>
    </cacheField>
    <cacheField name="Category" numFmtId="0">
      <sharedItems containsBlank="1" count="8">
        <s v="Home"/>
        <s v="Electronics"/>
        <s v="Sports"/>
        <s v="Books"/>
        <s v="Clothing"/>
        <s v="electronic"/>
        <s v="nan"/>
        <m/>
      </sharedItems>
    </cacheField>
    <cacheField name="Quantity" numFmtId="0">
      <sharedItems containsSemiMixedTypes="0" containsString="0" containsNumber="1" containsInteger="1" minValue="-5" maxValue="5"/>
    </cacheField>
    <cacheField name="Price" numFmtId="0">
      <sharedItems containsSemiMixedTypes="0" containsString="0" containsNumber="1" minValue="-100" maxValue="10000"/>
    </cacheField>
    <cacheField name="Payment_Method" numFmtId="0">
      <sharedItems count="4">
        <s v="Cash on Delivery"/>
        <s v="PayPal"/>
        <s v="Bank Transfer"/>
        <s v="Credit Card"/>
      </sharedItems>
    </cacheField>
    <cacheField name="Status" numFmtId="0">
      <sharedItems/>
    </cacheField>
    <cacheField name="Total" numFmtId="0">
      <sharedItems containsSemiMixedTypes="0" containsString="0" containsNumber="1" minValue="-200000" maxValue="4722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100"/>
    <s v="Customer_100"/>
    <x v="0"/>
    <d v="2024-11-22T00:00:00"/>
    <x v="0"/>
    <s v="Blender"/>
    <x v="0"/>
    <n v="3"/>
    <n v="38"/>
    <x v="0"/>
    <s v="Shipped"/>
    <n v="114"/>
  </r>
  <r>
    <n v="101"/>
    <s v="Customer_101"/>
    <x v="1"/>
    <d v="2025-07-05T00:00:00"/>
    <x v="1"/>
    <s v="Smartphone"/>
    <x v="1"/>
    <n v="2"/>
    <n v="0"/>
    <x v="1"/>
    <s v="Processing"/>
    <n v="0"/>
  </r>
  <r>
    <n v="102"/>
    <s v="Customer_102"/>
    <x v="2"/>
    <d v="2024-12-23T00:00:00"/>
    <x v="2"/>
    <s v="Tennis Racket"/>
    <x v="2"/>
    <n v="1"/>
    <n v="389.05"/>
    <x v="1"/>
    <s v="Delivered"/>
    <n v="389.05"/>
  </r>
  <r>
    <n v="103"/>
    <s v="Customer_103"/>
    <x v="3"/>
    <d v="2025-03-19T00:00:00"/>
    <x v="3"/>
    <s v="Science"/>
    <x v="3"/>
    <n v="5"/>
    <n v="233.92"/>
    <x v="1"/>
    <s v="Processing"/>
    <n v="1169.5999999999999"/>
  </r>
  <r>
    <n v="104"/>
    <s v="Customer_104"/>
    <x v="4"/>
    <d v="2025-10-20T00:00:00"/>
    <x v="4"/>
    <s v="Biography"/>
    <x v="3"/>
    <n v="1"/>
    <n v="552.51"/>
    <x v="0"/>
    <s v="Processing"/>
    <n v="552.51"/>
  </r>
  <r>
    <n v="105"/>
    <s v="Customer_105"/>
    <x v="5"/>
    <d v="2024-11-20T00:00:00"/>
    <x v="0"/>
    <s v="Tennis Racket"/>
    <x v="2"/>
    <n v="3"/>
    <n v="122.06"/>
    <x v="0"/>
    <s v="Cancelled"/>
    <n v="366.18"/>
  </r>
  <r>
    <n v="106"/>
    <s v="Customer_106"/>
    <x v="6"/>
    <d v="2025-02-02T00:00:00"/>
    <x v="5"/>
    <s v="Blender"/>
    <x v="0"/>
    <n v="0"/>
    <n v="978.63"/>
    <x v="2"/>
    <s v="Processing"/>
    <n v="0"/>
  </r>
  <r>
    <n v="107"/>
    <s v="Customer_107"/>
    <x v="7"/>
    <d v="2025-01-03T00:00:00"/>
    <x v="6"/>
    <s v="Biography"/>
    <x v="3"/>
    <n v="5"/>
    <n v="587.67999999999995"/>
    <x v="1"/>
    <s v="Returned"/>
    <n v="2938.4"/>
  </r>
  <r>
    <n v="108"/>
    <s v="Customer_108"/>
    <x v="8"/>
    <d v="2025-10-23T00:00:00"/>
    <x v="4"/>
    <s v="Science"/>
    <x v="3"/>
    <n v="1"/>
    <n v="600.29"/>
    <x v="0"/>
    <s v="Processing"/>
    <n v="600.29"/>
  </r>
  <r>
    <n v="109"/>
    <s v="Customer_109"/>
    <x v="9"/>
    <d v="2025-05-03T00:00:00"/>
    <x v="7"/>
    <s v="Tennis Racket"/>
    <x v="2"/>
    <n v="5"/>
    <n v="168.34"/>
    <x v="3"/>
    <s v="Shipped"/>
    <n v="841.7"/>
  </r>
  <r>
    <n v="110"/>
    <s v="Customer_110"/>
    <x v="10"/>
    <d v="2025-09-26T00:00:00"/>
    <x v="8"/>
    <s v="Basketball"/>
    <x v="2"/>
    <n v="5"/>
    <n v="0"/>
    <x v="0"/>
    <s v="Cancelled"/>
    <n v="0"/>
  </r>
  <r>
    <n v="111"/>
    <s v="Customer_111"/>
    <x v="11"/>
    <d v="2025-10-22T00:00:00"/>
    <x v="4"/>
    <s v="Comics"/>
    <x v="3"/>
    <n v="2"/>
    <n v="865.77"/>
    <x v="3"/>
    <s v="Returned"/>
    <n v="1731.54"/>
  </r>
  <r>
    <n v="112"/>
    <s v="Customer_112"/>
    <x v="12"/>
    <d v="2025-03-02T00:00:00"/>
    <x v="3"/>
    <s v="Shoes"/>
    <x v="4"/>
    <n v="4"/>
    <n v="752.13"/>
    <x v="2"/>
    <s v="Delivered"/>
    <n v="3008.52"/>
  </r>
  <r>
    <n v="113"/>
    <s v="Customer_113"/>
    <x v="13"/>
    <d v="2025-07-24T00:00:00"/>
    <x v="1"/>
    <s v="Fiction"/>
    <x v="3"/>
    <n v="1"/>
    <n v="411.81"/>
    <x v="3"/>
    <s v="Processing"/>
    <n v="411.81"/>
  </r>
  <r>
    <n v="114"/>
    <s v="Customer_114"/>
    <x v="14"/>
    <d v="2023-01-05T00:00:00"/>
    <x v="6"/>
    <s v="Smartphone"/>
    <x v="1"/>
    <n v="2"/>
    <n v="413.13"/>
    <x v="0"/>
    <s v="Shipped"/>
    <n v="826.26"/>
  </r>
  <r>
    <n v="115"/>
    <s v="Customer_115"/>
    <x v="15"/>
    <d v="2025-01-10T00:00:00"/>
    <x v="6"/>
    <s v="Fiction"/>
    <x v="3"/>
    <n v="2"/>
    <n v="796.84"/>
    <x v="0"/>
    <s v="Returned"/>
    <n v="1115.576"/>
  </r>
  <r>
    <n v="116"/>
    <s v="Customer_116"/>
    <x v="16"/>
    <d v="2025-10-30T00:00:00"/>
    <x v="4"/>
    <s v="Microwave"/>
    <x v="0"/>
    <n v="4"/>
    <n v="0"/>
    <x v="0"/>
    <s v="Processing"/>
    <n v="0"/>
  </r>
  <r>
    <n v="117"/>
    <s v="Customer_117"/>
    <x v="17"/>
    <d v="2025-02-12T00:00:00"/>
    <x v="5"/>
    <s v="Blender"/>
    <x v="5"/>
    <n v="-2"/>
    <n v="10000"/>
    <x v="0"/>
    <s v="Processing"/>
    <n v="-200000"/>
  </r>
  <r>
    <n v="118"/>
    <s v="Customer_118"/>
    <x v="18"/>
    <d v="2025-05-31T00:00:00"/>
    <x v="7"/>
    <s v="Science"/>
    <x v="3"/>
    <n v="5"/>
    <n v="247.82"/>
    <x v="1"/>
    <s v="Processing"/>
    <n v="1239.0999999999999"/>
  </r>
  <r>
    <n v="119"/>
    <s v="Customer_119"/>
    <x v="19"/>
    <d v="2024-12-19T00:00:00"/>
    <x v="2"/>
    <s v="Basketball"/>
    <x v="2"/>
    <n v="4"/>
    <n v="438.19"/>
    <x v="0"/>
    <s v="Processing"/>
    <n v="1752.76"/>
  </r>
  <r>
    <n v="120"/>
    <s v="Customer_120"/>
    <x v="20"/>
    <d v="2025-06-13T00:00:00"/>
    <x v="9"/>
    <s v="Yoga Mat"/>
    <x v="1"/>
    <n v="5"/>
    <n v="0"/>
    <x v="3"/>
    <s v="Cancelled"/>
    <n v="0"/>
  </r>
  <r>
    <n v="121"/>
    <s v="Customer_121"/>
    <x v="21"/>
    <d v="2025-10-11T00:00:00"/>
    <x v="4"/>
    <s v="Basketball"/>
    <x v="2"/>
    <n v="4"/>
    <n v="523.01"/>
    <x v="3"/>
    <s v="Delivered"/>
    <n v="2092.04"/>
  </r>
  <r>
    <n v="122"/>
    <s v="Customer_122"/>
    <x v="22"/>
    <d v="2025-05-16T00:00:00"/>
    <x v="7"/>
    <s v="Microwave"/>
    <x v="0"/>
    <n v="2"/>
    <n v="556.92999999999995"/>
    <x v="1"/>
    <s v="Shipped"/>
    <n v="1113.8599999999999"/>
  </r>
  <r>
    <n v="123"/>
    <s v="Customer_123"/>
    <x v="23"/>
    <d v="2025-10-06T00:00:00"/>
    <x v="4"/>
    <s v="Vacuum"/>
    <x v="5"/>
    <n v="3"/>
    <n v="615.91"/>
    <x v="0"/>
    <s v="Cancelled"/>
    <n v="1847.73"/>
  </r>
  <r>
    <n v="124"/>
    <s v="Customer_124"/>
    <x v="24"/>
    <d v="2025-05-31T00:00:00"/>
    <x v="7"/>
    <s v="Comics"/>
    <x v="3"/>
    <n v="5"/>
    <n v="0"/>
    <x v="1"/>
    <s v="Cancelled"/>
    <n v="0"/>
  </r>
  <r>
    <n v="125"/>
    <s v="Customer_125"/>
    <x v="25"/>
    <d v="2025-02-09T00:00:00"/>
    <x v="5"/>
    <s v="Comics"/>
    <x v="3"/>
    <n v="4"/>
    <n v="765.69"/>
    <x v="1"/>
    <s v="Shipped"/>
    <n v="3062.76"/>
  </r>
  <r>
    <n v="126"/>
    <s v="Customer_126"/>
    <x v="26"/>
    <d v="2025-05-18T00:00:00"/>
    <x v="7"/>
    <s v="Shoes"/>
    <x v="4"/>
    <n v="4"/>
    <n v="836.8"/>
    <x v="2"/>
    <s v="Cancelled"/>
    <n v="3347.2"/>
  </r>
  <r>
    <n v="127"/>
    <s v="Customer_127"/>
    <x v="27"/>
    <d v="2025-05-12T00:00:00"/>
    <x v="7"/>
    <s v="Blender"/>
    <x v="0"/>
    <n v="5"/>
    <n v="336.02"/>
    <x v="2"/>
    <s v="Returned"/>
    <n v="1680.1"/>
  </r>
  <r>
    <n v="128"/>
    <s v="Customer_128"/>
    <x v="28"/>
    <d v="2024-11-10T00:00:00"/>
    <x v="0"/>
    <s v="Lamp"/>
    <x v="1"/>
    <n v="3"/>
    <n v="898.69"/>
    <x v="2"/>
    <s v="Delivered"/>
    <n v="2696.07"/>
  </r>
  <r>
    <n v="129"/>
    <s v="Customer_129"/>
    <x v="29"/>
    <d v="2025-06-22T00:00:00"/>
    <x v="9"/>
    <s v="Science"/>
    <x v="3"/>
    <n v="4"/>
    <n v="736.71"/>
    <x v="2"/>
    <s v="Returned"/>
    <n v="2946.84"/>
  </r>
  <r>
    <n v="130"/>
    <s v="Customer_130"/>
    <x v="30"/>
    <d v="2025-08-15T00:00:00"/>
    <x v="10"/>
    <s v="Tennis Racket"/>
    <x v="2"/>
    <n v="2"/>
    <n v="0"/>
    <x v="2"/>
    <s v="Processing"/>
    <n v="0"/>
  </r>
  <r>
    <n v="131"/>
    <s v="Customer_131"/>
    <x v="31"/>
    <d v="2025-06-11T00:00:00"/>
    <x v="9"/>
    <s v="Lamp"/>
    <x v="0"/>
    <n v="5"/>
    <n v="616.63"/>
    <x v="1"/>
    <s v="Shipped"/>
    <n v="3083.15"/>
  </r>
  <r>
    <n v="132"/>
    <s v="Customer_132"/>
    <x v="32"/>
    <d v="2025-04-02T00:00:00"/>
    <x v="11"/>
    <s v="Yoga Mat"/>
    <x v="1"/>
    <n v="1"/>
    <n v="266.7"/>
    <x v="1"/>
    <s v="Delivered"/>
    <n v="266.7"/>
  </r>
  <r>
    <n v="133"/>
    <s v="Customer_133"/>
    <x v="33"/>
    <d v="2024-12-05T00:00:00"/>
    <x v="2"/>
    <s v="Biography"/>
    <x v="6"/>
    <n v="5"/>
    <n v="343.24"/>
    <x v="3"/>
    <s v="Shipped"/>
    <n v="1716.2"/>
  </r>
  <r>
    <n v="134"/>
    <s v="Customer_134"/>
    <x v="34"/>
    <d v="2025-10-04T00:00:00"/>
    <x v="4"/>
    <s v="T-shirt"/>
    <x v="4"/>
    <n v="-5"/>
    <n v="591.53"/>
    <x v="1"/>
    <s v="Shipped"/>
    <n v="-2957.65"/>
  </r>
  <r>
    <n v="135"/>
    <s v="Customer_135"/>
    <x v="35"/>
    <d v="2025-02-09T00:00:00"/>
    <x v="5"/>
    <s v="Smartwatch"/>
    <x v="1"/>
    <n v="4"/>
    <n v="446.19"/>
    <x v="0"/>
    <s v="Cancelled"/>
    <n v="1784.76"/>
  </r>
  <r>
    <n v="136"/>
    <s v="Customer_136"/>
    <x v="36"/>
    <d v="2025-06-12T00:00:00"/>
    <x v="9"/>
    <s v="Headphones"/>
    <x v="7"/>
    <n v="1"/>
    <n v="696.71"/>
    <x v="3"/>
    <s v="Delivered"/>
    <n v="696.71"/>
  </r>
  <r>
    <n v="137"/>
    <s v="Customer_137"/>
    <x v="37"/>
    <d v="2025-02-23T00:00:00"/>
    <x v="5"/>
    <s v="Vacuum"/>
    <x v="0"/>
    <n v="3"/>
    <n v="-100"/>
    <x v="0"/>
    <s v="Delivered"/>
    <n v="-300"/>
  </r>
  <r>
    <n v="138"/>
    <s v="Customer_138"/>
    <x v="38"/>
    <d v="2025-08-09T00:00:00"/>
    <x v="10"/>
    <s v="Lamp"/>
    <x v="0"/>
    <n v="1"/>
    <n v="531.05999999999995"/>
    <x v="1"/>
    <s v="Processing"/>
    <n v="531.05999999999995"/>
  </r>
  <r>
    <n v="139"/>
    <s v="Customer_139"/>
    <x v="39"/>
    <d v="2025-02-09T00:00:00"/>
    <x v="5"/>
    <s v="Smartphone"/>
    <x v="1"/>
    <n v="2"/>
    <n v="681.38"/>
    <x v="3"/>
    <s v="Cancelled"/>
    <n v="1362.76"/>
  </r>
  <r>
    <n v="140"/>
    <s v="Customer_140"/>
    <x v="40"/>
    <d v="2025-02-26T00:00:00"/>
    <x v="5"/>
    <s v="Fiction"/>
    <x v="3"/>
    <n v="4"/>
    <n v="588.98"/>
    <x v="3"/>
    <s v="Returned"/>
    <n v="2355.92"/>
  </r>
  <r>
    <n v="141"/>
    <s v="Customer_141"/>
    <x v="41"/>
    <d v="2025-02-13T00:00:00"/>
    <x v="5"/>
    <s v="Fiction"/>
    <x v="3"/>
    <n v="3"/>
    <n v="546.04"/>
    <x v="0"/>
    <s v="Returned"/>
    <n v="1638.12"/>
  </r>
  <r>
    <n v="142"/>
    <s v="Customer_142"/>
    <x v="42"/>
    <d v="2025-10-30T00:00:00"/>
    <x v="4"/>
    <s v="Shoes"/>
    <x v="4"/>
    <n v="5"/>
    <n v="645.26"/>
    <x v="3"/>
    <s v="Shipped"/>
    <n v="2258.41"/>
  </r>
  <r>
    <n v="143"/>
    <s v="Customer_143"/>
    <x v="43"/>
    <d v="2025-07-11T00:00:00"/>
    <x v="1"/>
    <s v="T-shirt"/>
    <x v="4"/>
    <n v="5"/>
    <n v="826.77"/>
    <x v="2"/>
    <s v="Cancelled"/>
    <n v="4133.8500000000004"/>
  </r>
  <r>
    <n v="144"/>
    <s v="Customer_144"/>
    <x v="44"/>
    <d v="2025-01-27T00:00:00"/>
    <x v="6"/>
    <s v="Football"/>
    <x v="2"/>
    <n v="5"/>
    <n v="849.07"/>
    <x v="2"/>
    <s v="Processing"/>
    <n v="4245.3500000000004"/>
  </r>
  <r>
    <n v="145"/>
    <s v="Customer_145"/>
    <x v="45"/>
    <d v="2023-01-05T00:00:00"/>
    <x v="6"/>
    <s v="Laptop"/>
    <x v="1"/>
    <n v="2"/>
    <n v="860.99"/>
    <x v="2"/>
    <s v="Returned"/>
    <n v="1721.98"/>
  </r>
  <r>
    <n v="146"/>
    <s v="Customer_146"/>
    <x v="46"/>
    <d v="2025-07-09T00:00:00"/>
    <x v="1"/>
    <s v="Basketball"/>
    <x v="5"/>
    <n v="2"/>
    <n v="705.42"/>
    <x v="2"/>
    <s v="Processing"/>
    <n v="1410.84"/>
  </r>
  <r>
    <n v="147"/>
    <s v="Customer_147"/>
    <x v="47"/>
    <d v="2025-05-01T00:00:00"/>
    <x v="7"/>
    <s v="Jacket"/>
    <x v="4"/>
    <n v="4"/>
    <n v="596.15"/>
    <x v="0"/>
    <s v="Shipped"/>
    <n v="2384.6"/>
  </r>
  <r>
    <n v="148"/>
    <s v="Customer_148"/>
    <x v="48"/>
    <d v="2025-03-13T00:00:00"/>
    <x v="3"/>
    <s v="Tennis Racket"/>
    <x v="2"/>
    <n v="1"/>
    <n v="660.98"/>
    <x v="0"/>
    <s v="Returned"/>
    <n v="660.98"/>
  </r>
  <r>
    <n v="149"/>
    <s v="Customer_149"/>
    <x v="49"/>
    <d v="2025-06-29T00:00:00"/>
    <x v="9"/>
    <s v="Comics"/>
    <x v="3"/>
    <n v="5"/>
    <n v="896.38"/>
    <x v="2"/>
    <s v="Cancelled"/>
    <n v="4481.8999999999996"/>
  </r>
  <r>
    <n v="150"/>
    <s v="Customer_150"/>
    <x v="50"/>
    <d v="2024-11-27T00:00:00"/>
    <x v="0"/>
    <s v="Yoga Mat"/>
    <x v="2"/>
    <n v="1"/>
    <n v="206.19"/>
    <x v="3"/>
    <s v="Returned"/>
    <n v="206.19"/>
  </r>
  <r>
    <n v="151"/>
    <s v="Customer_151"/>
    <x v="51"/>
    <d v="2025-07-01T00:00:00"/>
    <x v="1"/>
    <s v="Comics"/>
    <x v="3"/>
    <n v="2"/>
    <n v="457.16"/>
    <x v="1"/>
    <s v="Processing"/>
    <n v="640.024"/>
  </r>
  <r>
    <n v="152"/>
    <s v="Customer_152"/>
    <x v="52"/>
    <d v="2025-09-22T00:00:00"/>
    <x v="8"/>
    <s v="Lamp"/>
    <x v="0"/>
    <n v="3"/>
    <n v="233.11"/>
    <x v="1"/>
    <s v="Returned"/>
    <n v="699.33"/>
  </r>
  <r>
    <n v="153"/>
    <s v="Customer_153"/>
    <x v="53"/>
    <d v="2025-07-16T00:00:00"/>
    <x v="1"/>
    <s v="Yoga Mat"/>
    <x v="2"/>
    <n v="4"/>
    <n v="278.89999999999998"/>
    <x v="0"/>
    <s v="Processing"/>
    <n v="1115.5999999999999"/>
  </r>
  <r>
    <n v="154"/>
    <s v="Customer_154"/>
    <x v="54"/>
    <d v="2025-02-21T00:00:00"/>
    <x v="5"/>
    <s v="Blender"/>
    <x v="0"/>
    <n v="5"/>
    <n v="789.64"/>
    <x v="0"/>
    <s v="Cancelled"/>
    <n v="3948.2"/>
  </r>
  <r>
    <n v="155"/>
    <s v="Customer_155"/>
    <x v="55"/>
    <d v="2025-05-01T00:00:00"/>
    <x v="7"/>
    <s v="Shoes"/>
    <x v="4"/>
    <n v="1"/>
    <n v="40.950000000000003"/>
    <x v="1"/>
    <s v="Returned"/>
    <n v="40.950000000000003"/>
  </r>
  <r>
    <n v="156"/>
    <s v="Customer_156"/>
    <x v="56"/>
    <d v="2024-11-28T00:00:00"/>
    <x v="0"/>
    <s v="Jeans"/>
    <x v="4"/>
    <n v="2"/>
    <n v="0"/>
    <x v="2"/>
    <s v="Shipped"/>
    <n v="0"/>
  </r>
  <r>
    <n v="157"/>
    <s v="Customer_157"/>
    <x v="57"/>
    <d v="2025-11-06T00:00:00"/>
    <x v="0"/>
    <s v="Jacket"/>
    <x v="4"/>
    <n v="4"/>
    <n v="275.10000000000002"/>
    <x v="2"/>
    <s v="Processing"/>
    <n v="1100.4000000000001"/>
  </r>
  <r>
    <n v="158"/>
    <s v="Customer_158"/>
    <x v="58"/>
    <d v="2025-04-05T00:00:00"/>
    <x v="11"/>
    <s v="Smartwatch"/>
    <x v="1"/>
    <n v="1"/>
    <n v="933.58"/>
    <x v="0"/>
    <s v="Shipped"/>
    <n v="933.58"/>
  </r>
  <r>
    <n v="159"/>
    <s v="Customer_159"/>
    <x v="59"/>
    <d v="2025-07-28T00:00:00"/>
    <x v="1"/>
    <s v="Microwave"/>
    <x v="0"/>
    <n v="3"/>
    <n v="163.16"/>
    <x v="1"/>
    <s v="Shipped"/>
    <n v="489.48"/>
  </r>
  <r>
    <n v="160"/>
    <s v="Customer_160"/>
    <x v="60"/>
    <d v="2025-01-03T00:00:00"/>
    <x v="6"/>
    <s v="Science"/>
    <x v="3"/>
    <n v="5"/>
    <n v="242.52"/>
    <x v="0"/>
    <s v="Returned"/>
    <n v="1212.5999999999999"/>
  </r>
  <r>
    <n v="161"/>
    <s v="Customer_161"/>
    <x v="61"/>
    <d v="2024-12-15T00:00:00"/>
    <x v="2"/>
    <s v="Science"/>
    <x v="3"/>
    <n v="4"/>
    <n v="209.32"/>
    <x v="2"/>
    <s v="Shipped"/>
    <n v="837.28"/>
  </r>
  <r>
    <n v="162"/>
    <s v="Customer_162"/>
    <x v="62"/>
    <d v="2025-05-19T00:00:00"/>
    <x v="7"/>
    <s v="Blender"/>
    <x v="0"/>
    <n v="2"/>
    <n v="155.76"/>
    <x v="3"/>
    <s v="Returned"/>
    <n v="311.52"/>
  </r>
  <r>
    <n v="163"/>
    <s v="Customer_163"/>
    <x v="63"/>
    <d v="2023-01-05T00:00:00"/>
    <x v="6"/>
    <s v="Smartwatch"/>
    <x v="1"/>
    <n v="3"/>
    <n v="235.26"/>
    <x v="0"/>
    <s v="Shipped"/>
    <n v="705.78"/>
  </r>
  <r>
    <n v="164"/>
    <s v="Customer_164"/>
    <x v="64"/>
    <d v="2025-02-09T00:00:00"/>
    <x v="5"/>
    <s v="Tennis Racket"/>
    <x v="2"/>
    <n v="0"/>
    <n v="587.64"/>
    <x v="3"/>
    <s v="Returned"/>
    <n v="0"/>
  </r>
  <r>
    <n v="165"/>
    <s v="Customer_165"/>
    <x v="65"/>
    <d v="2024-11-08T00:00:00"/>
    <x v="0"/>
    <s v="Shoes"/>
    <x v="4"/>
    <n v="2"/>
    <n v="443.13"/>
    <x v="3"/>
    <s v="Delivered"/>
    <n v="886.26"/>
  </r>
  <r>
    <n v="166"/>
    <s v="Customer_166"/>
    <x v="66"/>
    <d v="2025-07-03T00:00:00"/>
    <x v="1"/>
    <s v="T-shirt"/>
    <x v="1"/>
    <n v="2"/>
    <n v="569.38"/>
    <x v="0"/>
    <s v="Shipped"/>
    <n v="1138.76"/>
  </r>
  <r>
    <n v="167"/>
    <s v="Customer_167"/>
    <x v="67"/>
    <d v="2025-08-07T00:00:00"/>
    <x v="10"/>
    <s v="Basketball"/>
    <x v="2"/>
    <n v="0"/>
    <n v="593.92999999999995"/>
    <x v="0"/>
    <s v="Processing"/>
    <n v="0"/>
  </r>
  <r>
    <n v="168"/>
    <s v="Customer_168"/>
    <x v="68"/>
    <d v="2025-11-04T00:00:00"/>
    <x v="0"/>
    <s v="Biography"/>
    <x v="3"/>
    <n v="2"/>
    <n v="141.49"/>
    <x v="1"/>
    <s v="Cancelled"/>
    <n v="282.98"/>
  </r>
  <r>
    <n v="169"/>
    <s v="Customer_169"/>
    <x v="69"/>
    <d v="2025-08-12T00:00:00"/>
    <x v="10"/>
    <s v="Basketball"/>
    <x v="2"/>
    <n v="1"/>
    <n v="582.13"/>
    <x v="3"/>
    <s v="Returned"/>
    <n v="582.13"/>
  </r>
  <r>
    <n v="170"/>
    <s v="Customer_170"/>
    <x v="70"/>
    <d v="2025-10-03T00:00:00"/>
    <x v="4"/>
    <s v="Jeans"/>
    <x v="4"/>
    <n v="5"/>
    <n v="741.63"/>
    <x v="2"/>
    <s v="Processing"/>
    <n v="3708.15"/>
  </r>
  <r>
    <n v="171"/>
    <s v="Customer_171"/>
    <x v="71"/>
    <d v="2024-12-06T00:00:00"/>
    <x v="2"/>
    <s v="Shoes"/>
    <x v="4"/>
    <n v="3"/>
    <n v="688.68"/>
    <x v="1"/>
    <s v="Processing"/>
    <n v="2066.04"/>
  </r>
  <r>
    <n v="172"/>
    <s v="Customer_172"/>
    <x v="72"/>
    <d v="2024-11-18T00:00:00"/>
    <x v="0"/>
    <s v="Comics"/>
    <x v="3"/>
    <n v="2"/>
    <n v="942.76"/>
    <x v="2"/>
    <s v="Returned"/>
    <n v="1885.52"/>
  </r>
  <r>
    <n v="173"/>
    <s v="Customer_173"/>
    <x v="73"/>
    <d v="2025-10-11T00:00:00"/>
    <x v="4"/>
    <s v="Lamp"/>
    <x v="0"/>
    <n v="5"/>
    <n v="351.89"/>
    <x v="3"/>
    <s v="Shipped"/>
    <n v="1759.45"/>
  </r>
  <r>
    <n v="174"/>
    <s v="Customer_174"/>
    <x v="74"/>
    <d v="2025-09-20T00:00:00"/>
    <x v="8"/>
    <s v="Microwave"/>
    <x v="1"/>
    <n v="4"/>
    <n v="187.48"/>
    <x v="3"/>
    <s v="Returned"/>
    <n v="749.92"/>
  </r>
  <r>
    <n v="175"/>
    <s v="Customer_175"/>
    <x v="75"/>
    <d v="2025-02-24T00:00:00"/>
    <x v="5"/>
    <s v="Headphones"/>
    <x v="1"/>
    <n v="1"/>
    <n v="111.36"/>
    <x v="3"/>
    <s v="Processing"/>
    <n v="111.36"/>
  </r>
  <r>
    <n v="176"/>
    <s v="Customer_176"/>
    <x v="76"/>
    <d v="2025-07-22T00:00:00"/>
    <x v="1"/>
    <s v="Comics"/>
    <x v="3"/>
    <n v="5"/>
    <n v="530.52"/>
    <x v="0"/>
    <s v="Shipped"/>
    <n v="2652.6"/>
  </r>
  <r>
    <n v="177"/>
    <s v="Customer_177"/>
    <x v="77"/>
    <d v="2025-07-28T00:00:00"/>
    <x v="1"/>
    <s v="Laptop"/>
    <x v="1"/>
    <n v="1"/>
    <n v="69.48"/>
    <x v="2"/>
    <s v="Returned"/>
    <n v="69.48"/>
  </r>
  <r>
    <n v="178"/>
    <s v="Customer_178"/>
    <x v="78"/>
    <d v="2025-09-18T00:00:00"/>
    <x v="8"/>
    <s v="Tennis Racket"/>
    <x v="2"/>
    <n v="3"/>
    <n v="472.14"/>
    <x v="1"/>
    <s v="Returned"/>
    <n v="1416.42"/>
  </r>
  <r>
    <n v="179"/>
    <s v="Customer_179"/>
    <x v="79"/>
    <d v="2025-09-03T00:00:00"/>
    <x v="8"/>
    <s v="Yoga Mat"/>
    <x v="2"/>
    <n v="3"/>
    <n v="868.67"/>
    <x v="1"/>
    <s v="Delivered"/>
    <n v="2606.0100000000002"/>
  </r>
  <r>
    <n v="180"/>
    <s v="Customer_180"/>
    <x v="80"/>
    <d v="2025-03-26T00:00:00"/>
    <x v="3"/>
    <s v="Laptop"/>
    <x v="7"/>
    <n v="2"/>
    <n v="418.38"/>
    <x v="3"/>
    <s v="Processing"/>
    <n v="836.76"/>
  </r>
  <r>
    <n v="181"/>
    <s v="Customer_181"/>
    <x v="81"/>
    <d v="2024-12-29T00:00:00"/>
    <x v="2"/>
    <s v="Smartphone"/>
    <x v="6"/>
    <n v="1"/>
    <n v="266.48"/>
    <x v="0"/>
    <s v="Cancelled"/>
    <n v="266.48"/>
  </r>
  <r>
    <n v="182"/>
    <s v="Customer_182"/>
    <x v="82"/>
    <d v="2025-08-03T00:00:00"/>
    <x v="10"/>
    <s v="Shoes"/>
    <x v="7"/>
    <n v="4"/>
    <n v="538.35"/>
    <x v="1"/>
    <s v="Processing"/>
    <n v="2153.4"/>
  </r>
  <r>
    <n v="183"/>
    <s v="Customer_183"/>
    <x v="83"/>
    <d v="2025-03-10T00:00:00"/>
    <x v="3"/>
    <s v="Shoes"/>
    <x v="4"/>
    <n v="5"/>
    <n v="0"/>
    <x v="0"/>
    <s v="Returned"/>
    <n v="0"/>
  </r>
  <r>
    <n v="184"/>
    <s v="Customer_184"/>
    <x v="84"/>
    <d v="2025-02-15T00:00:00"/>
    <x v="5"/>
    <s v="Jeans"/>
    <x v="7"/>
    <n v="4"/>
    <n v="101.19"/>
    <x v="2"/>
    <s v="Processing"/>
    <n v="404.76"/>
  </r>
  <r>
    <n v="185"/>
    <s v="Customer_185"/>
    <x v="85"/>
    <d v="2025-08-14T00:00:00"/>
    <x v="10"/>
    <s v="Football"/>
    <x v="2"/>
    <n v="2"/>
    <n v="730.92"/>
    <x v="0"/>
    <s v="Cancelled"/>
    <n v="1023.288"/>
  </r>
  <r>
    <n v="186"/>
    <s v="Customer_186"/>
    <x v="86"/>
    <d v="2025-10-06T00:00:00"/>
    <x v="4"/>
    <s v="Laptop"/>
    <x v="1"/>
    <n v="1"/>
    <n v="365.34"/>
    <x v="2"/>
    <s v="Delivered"/>
    <n v="365.34"/>
  </r>
  <r>
    <n v="187"/>
    <s v="Customer_187"/>
    <x v="87"/>
    <d v="2024-11-19T00:00:00"/>
    <x v="0"/>
    <s v="Smartphone"/>
    <x v="1"/>
    <n v="3"/>
    <n v="882.96"/>
    <x v="2"/>
    <s v="Returned"/>
    <n v="2648.88"/>
  </r>
  <r>
    <n v="188"/>
    <s v="Customer_188"/>
    <x v="88"/>
    <d v="2024-11-19T00:00:00"/>
    <x v="0"/>
    <s v="Microwave"/>
    <x v="0"/>
    <n v="5"/>
    <n v="504.05"/>
    <x v="0"/>
    <s v="Shipped"/>
    <n v="2520.25"/>
  </r>
  <r>
    <n v="189"/>
    <s v="Customer_189"/>
    <x v="89"/>
    <d v="2025-08-14T00:00:00"/>
    <x v="10"/>
    <s v="Lamp"/>
    <x v="0"/>
    <n v="1"/>
    <n v="814.68"/>
    <x v="0"/>
    <s v="Returned"/>
    <n v="814.68"/>
  </r>
  <r>
    <n v="190"/>
    <s v="Customer_190"/>
    <x v="90"/>
    <d v="2025-06-29T00:00:00"/>
    <x v="9"/>
    <s v="Vacuum"/>
    <x v="0"/>
    <n v="1"/>
    <n v="920.37"/>
    <x v="2"/>
    <s v="Processing"/>
    <n v="920.37"/>
  </r>
  <r>
    <n v="191"/>
    <s v="Customer_191"/>
    <x v="91"/>
    <d v="2025-07-18T00:00:00"/>
    <x v="1"/>
    <s v="Fiction"/>
    <x v="3"/>
    <n v="2"/>
    <n v="881.02"/>
    <x v="0"/>
    <s v="Returned"/>
    <n v="1762.04"/>
  </r>
  <r>
    <n v="192"/>
    <s v="Customer_192"/>
    <x v="92"/>
    <m/>
    <x v="6"/>
    <s v="Jacket"/>
    <x v="4"/>
    <n v="0"/>
    <n v="203.63"/>
    <x v="3"/>
    <s v="Returned"/>
    <n v="0"/>
  </r>
  <r>
    <n v="193"/>
    <s v="Customer_193"/>
    <x v="93"/>
    <d v="2025-06-06T00:00:00"/>
    <x v="9"/>
    <s v="Basketball"/>
    <x v="7"/>
    <n v="0"/>
    <n v="522.02"/>
    <x v="1"/>
    <s v="Shipped"/>
    <n v="0"/>
  </r>
  <r>
    <n v="194"/>
    <s v="Customer_194"/>
    <x v="94"/>
    <d v="2025-02-10T00:00:00"/>
    <x v="5"/>
    <s v="Lamp"/>
    <x v="0"/>
    <n v="5"/>
    <n v="944.54"/>
    <x v="0"/>
    <s v="Returned"/>
    <n v="4722.7"/>
  </r>
  <r>
    <n v="195"/>
    <s v="Customer_195"/>
    <x v="95"/>
    <d v="2025-06-19T00:00:00"/>
    <x v="9"/>
    <s v="Biography"/>
    <x v="3"/>
    <n v="5"/>
    <n v="817.46"/>
    <x v="0"/>
    <s v="Returned"/>
    <n v="4087.3"/>
  </r>
  <r>
    <n v="196"/>
    <s v="Customer_196"/>
    <x v="96"/>
    <d v="2024-12-23T00:00:00"/>
    <x v="2"/>
    <s v="Vacuum"/>
    <x v="0"/>
    <n v="0"/>
    <n v="0"/>
    <x v="1"/>
    <s v="Delivered"/>
    <n v="0"/>
  </r>
  <r>
    <n v="197"/>
    <s v="Customer_197"/>
    <x v="97"/>
    <d v="2025-06-23T00:00:00"/>
    <x v="9"/>
    <s v="Blender"/>
    <x v="0"/>
    <n v="1"/>
    <n v="160.16"/>
    <x v="1"/>
    <s v="Cancelled"/>
    <n v="160.16"/>
  </r>
  <r>
    <n v="198"/>
    <s v="Customer_198"/>
    <x v="98"/>
    <d v="2025-07-27T00:00:00"/>
    <x v="1"/>
    <s v="Vacuum"/>
    <x v="7"/>
    <n v="2"/>
    <n v="497.01"/>
    <x v="0"/>
    <s v="Shipped"/>
    <n v="994.02"/>
  </r>
  <r>
    <n v="199"/>
    <s v="Customer_199"/>
    <x v="99"/>
    <d v="2025-01-22T00:00:00"/>
    <x v="6"/>
    <s v="Blender"/>
    <x v="0"/>
    <n v="5"/>
    <n v="372.28"/>
    <x v="3"/>
    <s v="Shipped"/>
    <n v="1861.4"/>
  </r>
  <r>
    <n v="175"/>
    <s v="Customer_175"/>
    <x v="75"/>
    <d v="2025-02-24T00:00:00"/>
    <x v="5"/>
    <s v="Headphones"/>
    <x v="1"/>
    <n v="1"/>
    <n v="111.36"/>
    <x v="3"/>
    <s v="Processing"/>
    <n v="77.951999999999998"/>
  </r>
  <r>
    <n v="142"/>
    <s v="Customer_142"/>
    <x v="42"/>
    <d v="2025-10-30T00:00:00"/>
    <x v="4"/>
    <s v="Shoes"/>
    <x v="4"/>
    <n v="5"/>
    <n v="645.26"/>
    <x v="3"/>
    <s v="Shipped"/>
    <n v="3226.3"/>
  </r>
  <r>
    <n v="146"/>
    <s v="Customer_146"/>
    <x v="46"/>
    <d v="2025-07-09T00:00:00"/>
    <x v="1"/>
    <s v="Basketball"/>
    <x v="5"/>
    <n v="2"/>
    <n v="705.42"/>
    <x v="2"/>
    <s v="Processing"/>
    <n v="1410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321D3-A21F-4698-9F0C-B2186E136E4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>
  <location ref="A3:B104" firstHeaderRow="1" firstDataRow="1" firstDataCol="1"/>
  <pivotFields count="12">
    <pivotField showAll="0"/>
    <pivotField showAll="0"/>
    <pivotField axis="axisRow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Average of Quantity" fld="7" subtotal="average" baseField="2" baseItem="0"/>
  </dataField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0F0EC-D2DB-4A05-AD5F-E184E0C5642D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3">
  <location ref="A3:B12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4"/>
        <item x="5"/>
        <item x="1"/>
        <item x="0"/>
        <item x="6"/>
        <item x="2"/>
        <item x="7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7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57898-B049-44D0-862D-AC354A5F9EE9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3:B16" firstHeaderRow="1" firstDataRow="1" firstDataCol="1"/>
  <pivotFields count="12">
    <pivotField showAll="0"/>
    <pivotField showAll="0"/>
    <pivotField showAll="0"/>
    <pivotField showAll="0"/>
    <pivotField axis="axisRow" showAll="0">
      <items count="13">
        <item x="6"/>
        <item x="5"/>
        <item x="3"/>
        <item x="11"/>
        <item x="7"/>
        <item x="9"/>
        <item x="1"/>
        <item x="10"/>
        <item x="8"/>
        <item x="4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49868-804F-4724-8AFD-C5F28D037BE5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10" subtotal="count" baseField="0" baseItem="0"/>
  </dataFields>
  <chartFormats count="2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294F8-9812-4F46-8DFC-DEF5EDDCFA5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104" firstHeaderRow="1" firstDataRow="1" firstDataCol="1"/>
  <pivotFields count="12">
    <pivotField showAll="0"/>
    <pivotField showAll="0"/>
    <pivotField axis="axisRow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Price" fld="8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F7BF1-AC64-46DF-95B8-3645569F007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16" firstHeaderRow="1" firstDataRow="1" firstDataCol="1"/>
  <pivotFields count="12">
    <pivotField showAll="0"/>
    <pivotField showAll="0"/>
    <pivotField showAll="0"/>
    <pivotField showAll="0"/>
    <pivotField axis="axisRow" showAll="0">
      <items count="13">
        <item x="6"/>
        <item x="5"/>
        <item x="3"/>
        <item x="11"/>
        <item x="7"/>
        <item x="9"/>
        <item x="1"/>
        <item x="10"/>
        <item x="8"/>
        <item x="4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ice" fld="8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36E95D-2F11-482A-A20B-6E0B675F4866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 Customer_Name" tableColumnId="2"/>
      <queryTableField id="3" name="Order_ID" tableColumnId="3"/>
      <queryTableField id="4" name="Order_Date" tableColumnId="4"/>
      <queryTableField id="5" name="Monthly" tableColumnId="5"/>
      <queryTableField id="6" name=" Product" tableColumnId="6"/>
      <queryTableField id="7" name="Category" tableColumnId="7"/>
      <queryTableField id="8" name="Quantity" tableColumnId="8"/>
      <queryTableField id="9" name="Price" tableColumnId="9"/>
      <queryTableField id="10" name="Payment_Method" tableColumnId="10"/>
      <queryTableField id="11" name="Status" tableColumnId="11"/>
      <queryTableField id="12" name="Tota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3D252-A993-4C78-A489-BE4B78849297}" name="Table1_2" displayName="Table1_2" ref="A1:L104" tableType="queryTable" totalsRowShown="0">
  <autoFilter ref="A1:L104" xr:uid="{3B43D252-A993-4C78-A489-BE4B78849297}"/>
  <tableColumns count="12">
    <tableColumn id="1" xr3:uid="{B6A13C57-2527-4377-BEF0-D89695A775EA}" uniqueName="1" name="ID" queryTableFieldId="1"/>
    <tableColumn id="2" xr3:uid="{819E4B56-D85C-4105-B215-8C447AC1BD74}" uniqueName="2" name=" Customer_Name" queryTableFieldId="2" dataDxfId="7"/>
    <tableColumn id="3" xr3:uid="{85EEA9E8-32EE-4D4D-BD17-02F56D12930E}" uniqueName="3" name="Order_ID" queryTableFieldId="3" dataDxfId="6"/>
    <tableColumn id="4" xr3:uid="{D30504BC-C6EF-42AA-9874-B0A233FF7AF6}" uniqueName="4" name="Order_Date" queryTableFieldId="4" dataDxfId="5"/>
    <tableColumn id="5" xr3:uid="{E1581AD3-143B-4C19-A2DB-98A432C728BD}" uniqueName="5" name="Monthly" queryTableFieldId="5" dataDxfId="4"/>
    <tableColumn id="6" xr3:uid="{F3B7C074-2818-4363-A6C8-E885A4633885}" uniqueName="6" name=" Product" queryTableFieldId="6" dataDxfId="3"/>
    <tableColumn id="7" xr3:uid="{B13A810B-9FA0-4E10-9F22-729B25378AF9}" uniqueName="7" name="Category" queryTableFieldId="7" dataDxfId="2"/>
    <tableColumn id="8" xr3:uid="{4D6D4E74-365C-4798-9C9E-351522156465}" uniqueName="8" name="Quantity" queryTableFieldId="8"/>
    <tableColumn id="9" xr3:uid="{9349F3FF-F324-424F-AFE0-0886A70F46D8}" uniqueName="9" name="Price" queryTableFieldId="9"/>
    <tableColumn id="10" xr3:uid="{2836C2EB-EF01-491C-848E-1F9D046CAFF8}" uniqueName="10" name="Payment_Method" queryTableFieldId="10" dataDxfId="1"/>
    <tableColumn id="11" xr3:uid="{46813073-A599-44D5-AFAB-873B902ED5BD}" uniqueName="11" name="Status" queryTableFieldId="11" dataDxfId="0"/>
    <tableColumn id="12" xr3:uid="{7926CB22-5839-4C17-8EC7-4979CAD56CC0}" uniqueName="12" name="Total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F93E-336B-4240-B1E6-39DD809E06F9}">
  <dimension ref="A3:B104"/>
  <sheetViews>
    <sheetView topLeftCell="A79" workbookViewId="0">
      <selection activeCell="A3" sqref="A3:B103"/>
    </sheetView>
  </sheetViews>
  <sheetFormatPr defaultRowHeight="14.4" x14ac:dyDescent="0.3"/>
  <cols>
    <col min="1" max="1" width="12.5546875" bestFit="1" customWidth="1"/>
    <col min="2" max="2" width="18.109375" bestFit="1" customWidth="1"/>
  </cols>
  <sheetData>
    <row r="3" spans="1:2" x14ac:dyDescent="0.3">
      <c r="A3" s="3" t="s">
        <v>252</v>
      </c>
      <c r="B3" t="s">
        <v>268</v>
      </c>
    </row>
    <row r="4" spans="1:2" x14ac:dyDescent="0.3">
      <c r="A4" s="4" t="s">
        <v>137</v>
      </c>
      <c r="B4" s="1">
        <v>4</v>
      </c>
    </row>
    <row r="5" spans="1:2" x14ac:dyDescent="0.3">
      <c r="A5" s="4" t="s">
        <v>134</v>
      </c>
      <c r="B5" s="1">
        <v>3</v>
      </c>
    </row>
    <row r="6" spans="1:2" x14ac:dyDescent="0.3">
      <c r="A6" s="4" t="s">
        <v>139</v>
      </c>
      <c r="B6" s="1">
        <v>3</v>
      </c>
    </row>
    <row r="7" spans="1:2" x14ac:dyDescent="0.3">
      <c r="A7" s="4" t="s">
        <v>154</v>
      </c>
      <c r="B7" s="1">
        <v>5</v>
      </c>
    </row>
    <row r="8" spans="1:2" x14ac:dyDescent="0.3">
      <c r="A8" s="4" t="s">
        <v>209</v>
      </c>
      <c r="B8" s="1">
        <v>2</v>
      </c>
    </row>
    <row r="9" spans="1:2" x14ac:dyDescent="0.3">
      <c r="A9" s="4" t="s">
        <v>131</v>
      </c>
      <c r="B9" s="1">
        <v>5</v>
      </c>
    </row>
    <row r="10" spans="1:2" x14ac:dyDescent="0.3">
      <c r="A10" s="4" t="s">
        <v>145</v>
      </c>
      <c r="B10" s="1">
        <v>-5</v>
      </c>
    </row>
    <row r="11" spans="1:2" x14ac:dyDescent="0.3">
      <c r="A11" s="4" t="s">
        <v>185</v>
      </c>
      <c r="B11" s="1">
        <v>4</v>
      </c>
    </row>
    <row r="12" spans="1:2" x14ac:dyDescent="0.3">
      <c r="A12" s="4" t="s">
        <v>120</v>
      </c>
      <c r="B12" s="1">
        <v>5</v>
      </c>
    </row>
    <row r="13" spans="1:2" x14ac:dyDescent="0.3">
      <c r="A13" s="4" t="s">
        <v>166</v>
      </c>
      <c r="B13" s="1">
        <v>1</v>
      </c>
    </row>
    <row r="14" spans="1:2" x14ac:dyDescent="0.3">
      <c r="A14" s="4" t="s">
        <v>194</v>
      </c>
      <c r="B14" s="1">
        <v>5</v>
      </c>
    </row>
    <row r="15" spans="1:2" x14ac:dyDescent="0.3">
      <c r="A15" s="4" t="s">
        <v>147</v>
      </c>
      <c r="B15" s="1">
        <v>1</v>
      </c>
    </row>
    <row r="16" spans="1:2" x14ac:dyDescent="0.3">
      <c r="A16" s="4" t="s">
        <v>133</v>
      </c>
      <c r="B16" s="1">
        <v>2</v>
      </c>
    </row>
    <row r="17" spans="1:2" x14ac:dyDescent="0.3">
      <c r="A17" s="4" t="s">
        <v>181</v>
      </c>
      <c r="B17" s="1">
        <v>5</v>
      </c>
    </row>
    <row r="18" spans="1:2" x14ac:dyDescent="0.3">
      <c r="A18" s="4" t="s">
        <v>116</v>
      </c>
      <c r="B18" s="1">
        <v>3</v>
      </c>
    </row>
    <row r="19" spans="1:2" x14ac:dyDescent="0.3">
      <c r="A19" s="4" t="s">
        <v>175</v>
      </c>
      <c r="B19" s="1">
        <v>0</v>
      </c>
    </row>
    <row r="20" spans="1:2" x14ac:dyDescent="0.3">
      <c r="A20" s="4" t="s">
        <v>136</v>
      </c>
      <c r="B20" s="1">
        <v>4</v>
      </c>
    </row>
    <row r="21" spans="1:2" x14ac:dyDescent="0.3">
      <c r="A21" s="4" t="s">
        <v>124</v>
      </c>
      <c r="B21" s="1">
        <v>1</v>
      </c>
    </row>
    <row r="22" spans="1:2" x14ac:dyDescent="0.3">
      <c r="A22" s="4" t="s">
        <v>174</v>
      </c>
      <c r="B22" s="1">
        <v>3</v>
      </c>
    </row>
    <row r="23" spans="1:2" x14ac:dyDescent="0.3">
      <c r="A23" s="4" t="s">
        <v>117</v>
      </c>
      <c r="B23" s="1">
        <v>0</v>
      </c>
    </row>
    <row r="24" spans="1:2" x14ac:dyDescent="0.3">
      <c r="A24" s="4" t="s">
        <v>172</v>
      </c>
      <c r="B24" s="1">
        <v>4</v>
      </c>
    </row>
    <row r="25" spans="1:2" x14ac:dyDescent="0.3">
      <c r="A25" s="4" t="s">
        <v>173</v>
      </c>
      <c r="B25" s="1">
        <v>2</v>
      </c>
    </row>
    <row r="26" spans="1:2" x14ac:dyDescent="0.3">
      <c r="A26" s="4" t="s">
        <v>164</v>
      </c>
      <c r="B26" s="1">
        <v>4</v>
      </c>
    </row>
    <row r="27" spans="1:2" x14ac:dyDescent="0.3">
      <c r="A27" s="4" t="s">
        <v>178</v>
      </c>
      <c r="B27" s="1">
        <v>0</v>
      </c>
    </row>
    <row r="28" spans="1:2" x14ac:dyDescent="0.3">
      <c r="A28" s="4" t="s">
        <v>200</v>
      </c>
      <c r="B28" s="1">
        <v>1</v>
      </c>
    </row>
    <row r="29" spans="1:2" x14ac:dyDescent="0.3">
      <c r="A29" s="4" t="s">
        <v>157</v>
      </c>
      <c r="B29" s="1">
        <v>2</v>
      </c>
    </row>
    <row r="30" spans="1:2" x14ac:dyDescent="0.3">
      <c r="A30" s="4" t="s">
        <v>146</v>
      </c>
      <c r="B30" s="1">
        <v>4</v>
      </c>
    </row>
    <row r="31" spans="1:2" x14ac:dyDescent="0.3">
      <c r="A31" s="4" t="s">
        <v>141</v>
      </c>
      <c r="B31" s="1">
        <v>2</v>
      </c>
    </row>
    <row r="32" spans="1:2" x14ac:dyDescent="0.3">
      <c r="A32" s="4" t="s">
        <v>149</v>
      </c>
      <c r="B32" s="1">
        <v>1</v>
      </c>
    </row>
    <row r="33" spans="1:2" x14ac:dyDescent="0.3">
      <c r="A33" s="4" t="s">
        <v>168</v>
      </c>
      <c r="B33" s="1">
        <v>4</v>
      </c>
    </row>
    <row r="34" spans="1:2" x14ac:dyDescent="0.3">
      <c r="A34" s="4" t="s">
        <v>167</v>
      </c>
      <c r="B34" s="1">
        <v>2</v>
      </c>
    </row>
    <row r="35" spans="1:2" x14ac:dyDescent="0.3">
      <c r="A35" s="4" t="s">
        <v>203</v>
      </c>
      <c r="B35" s="1">
        <v>0</v>
      </c>
    </row>
    <row r="36" spans="1:2" x14ac:dyDescent="0.3">
      <c r="A36" s="4" t="s">
        <v>112</v>
      </c>
      <c r="B36" s="1">
        <v>2</v>
      </c>
    </row>
    <row r="37" spans="1:2" x14ac:dyDescent="0.3">
      <c r="A37" s="4" t="s">
        <v>169</v>
      </c>
      <c r="B37" s="1">
        <v>1</v>
      </c>
    </row>
    <row r="38" spans="1:2" x14ac:dyDescent="0.3">
      <c r="A38" s="4" t="s">
        <v>150</v>
      </c>
      <c r="B38" s="1">
        <v>2</v>
      </c>
    </row>
    <row r="39" spans="1:2" x14ac:dyDescent="0.3">
      <c r="A39" s="4" t="s">
        <v>159</v>
      </c>
      <c r="B39" s="1">
        <v>1</v>
      </c>
    </row>
    <row r="40" spans="1:2" x14ac:dyDescent="0.3">
      <c r="A40" s="4" t="s">
        <v>201</v>
      </c>
      <c r="B40" s="1">
        <v>1</v>
      </c>
    </row>
    <row r="41" spans="1:2" x14ac:dyDescent="0.3">
      <c r="A41" s="4" t="s">
        <v>143</v>
      </c>
      <c r="B41" s="1">
        <v>1</v>
      </c>
    </row>
    <row r="42" spans="1:2" x14ac:dyDescent="0.3">
      <c r="A42" s="4" t="s">
        <v>111</v>
      </c>
      <c r="B42" s="1">
        <v>3</v>
      </c>
    </row>
    <row r="43" spans="1:2" x14ac:dyDescent="0.3">
      <c r="A43" s="4" t="s">
        <v>198</v>
      </c>
      <c r="B43" s="1">
        <v>3</v>
      </c>
    </row>
    <row r="44" spans="1:2" x14ac:dyDescent="0.3">
      <c r="A44" s="4" t="s">
        <v>202</v>
      </c>
      <c r="B44" s="1">
        <v>2</v>
      </c>
    </row>
    <row r="45" spans="1:2" x14ac:dyDescent="0.3">
      <c r="A45" s="4" t="s">
        <v>184</v>
      </c>
      <c r="B45" s="1">
        <v>5</v>
      </c>
    </row>
    <row r="46" spans="1:2" x14ac:dyDescent="0.3">
      <c r="A46" s="4" t="s">
        <v>204</v>
      </c>
      <c r="B46" s="1">
        <v>0</v>
      </c>
    </row>
    <row r="47" spans="1:2" x14ac:dyDescent="0.3">
      <c r="A47" s="4" t="s">
        <v>152</v>
      </c>
      <c r="B47" s="1">
        <v>3</v>
      </c>
    </row>
    <row r="48" spans="1:2" x14ac:dyDescent="0.3">
      <c r="A48" s="4" t="s">
        <v>135</v>
      </c>
      <c r="B48" s="1">
        <v>5</v>
      </c>
    </row>
    <row r="49" spans="1:2" x14ac:dyDescent="0.3">
      <c r="A49" s="4" t="s">
        <v>183</v>
      </c>
      <c r="B49" s="1">
        <v>2</v>
      </c>
    </row>
    <row r="50" spans="1:2" x14ac:dyDescent="0.3">
      <c r="A50" s="4" t="s">
        <v>140</v>
      </c>
      <c r="B50" s="1">
        <v>4</v>
      </c>
    </row>
    <row r="51" spans="1:2" x14ac:dyDescent="0.3">
      <c r="A51" s="4" t="s">
        <v>179</v>
      </c>
      <c r="B51" s="1">
        <v>2</v>
      </c>
    </row>
    <row r="52" spans="1:2" x14ac:dyDescent="0.3">
      <c r="A52" s="4" t="s">
        <v>192</v>
      </c>
      <c r="B52" s="1">
        <v>1</v>
      </c>
    </row>
    <row r="53" spans="1:2" x14ac:dyDescent="0.3">
      <c r="A53" s="4" t="s">
        <v>176</v>
      </c>
      <c r="B53" s="1">
        <v>2</v>
      </c>
    </row>
    <row r="54" spans="1:2" x14ac:dyDescent="0.3">
      <c r="A54" s="4" t="s">
        <v>162</v>
      </c>
      <c r="B54" s="1">
        <v>2</v>
      </c>
    </row>
    <row r="55" spans="1:2" x14ac:dyDescent="0.3">
      <c r="A55" s="4" t="s">
        <v>186</v>
      </c>
      <c r="B55" s="1">
        <v>1</v>
      </c>
    </row>
    <row r="56" spans="1:2" x14ac:dyDescent="0.3">
      <c r="A56" s="4" t="s">
        <v>196</v>
      </c>
      <c r="B56" s="1">
        <v>2</v>
      </c>
    </row>
    <row r="57" spans="1:2" x14ac:dyDescent="0.3">
      <c r="A57" s="4" t="s">
        <v>114</v>
      </c>
      <c r="B57" s="1">
        <v>5</v>
      </c>
    </row>
    <row r="58" spans="1:2" x14ac:dyDescent="0.3">
      <c r="A58" s="4" t="s">
        <v>199</v>
      </c>
      <c r="B58" s="1">
        <v>5</v>
      </c>
    </row>
    <row r="59" spans="1:2" x14ac:dyDescent="0.3">
      <c r="A59" s="4" t="s">
        <v>121</v>
      </c>
      <c r="B59" s="1">
        <v>5</v>
      </c>
    </row>
    <row r="60" spans="1:2" x14ac:dyDescent="0.3">
      <c r="A60" s="4" t="s">
        <v>127</v>
      </c>
      <c r="B60" s="1">
        <v>4</v>
      </c>
    </row>
    <row r="61" spans="1:2" x14ac:dyDescent="0.3">
      <c r="A61" s="4" t="s">
        <v>188</v>
      </c>
      <c r="B61" s="1">
        <v>1</v>
      </c>
    </row>
    <row r="62" spans="1:2" x14ac:dyDescent="0.3">
      <c r="A62" s="4" t="s">
        <v>119</v>
      </c>
      <c r="B62" s="1">
        <v>1</v>
      </c>
    </row>
    <row r="63" spans="1:2" x14ac:dyDescent="0.3">
      <c r="A63" s="4" t="s">
        <v>138</v>
      </c>
      <c r="B63" s="1">
        <v>5</v>
      </c>
    </row>
    <row r="64" spans="1:2" x14ac:dyDescent="0.3">
      <c r="A64" s="4" t="s">
        <v>151</v>
      </c>
      <c r="B64" s="1">
        <v>4</v>
      </c>
    </row>
    <row r="65" spans="1:2" x14ac:dyDescent="0.3">
      <c r="A65" s="4" t="s">
        <v>195</v>
      </c>
      <c r="B65" s="1">
        <v>4</v>
      </c>
    </row>
    <row r="66" spans="1:2" x14ac:dyDescent="0.3">
      <c r="A66" s="4" t="s">
        <v>144</v>
      </c>
      <c r="B66" s="1">
        <v>5</v>
      </c>
    </row>
    <row r="67" spans="1:2" x14ac:dyDescent="0.3">
      <c r="A67" s="4" t="s">
        <v>153</v>
      </c>
      <c r="B67" s="1">
        <v>5</v>
      </c>
    </row>
    <row r="68" spans="1:2" x14ac:dyDescent="0.3">
      <c r="A68" s="4" t="s">
        <v>205</v>
      </c>
      <c r="B68" s="1">
        <v>5</v>
      </c>
    </row>
    <row r="69" spans="1:2" x14ac:dyDescent="0.3">
      <c r="A69" s="4" t="s">
        <v>122</v>
      </c>
      <c r="B69" s="1">
        <v>2</v>
      </c>
    </row>
    <row r="70" spans="1:2" x14ac:dyDescent="0.3">
      <c r="A70" s="4" t="s">
        <v>128</v>
      </c>
      <c r="B70" s="1">
        <v>-2</v>
      </c>
    </row>
    <row r="71" spans="1:2" x14ac:dyDescent="0.3">
      <c r="A71" s="4" t="s">
        <v>126</v>
      </c>
      <c r="B71" s="1">
        <v>2</v>
      </c>
    </row>
    <row r="72" spans="1:2" x14ac:dyDescent="0.3">
      <c r="A72" s="4" t="s">
        <v>163</v>
      </c>
      <c r="B72" s="1">
        <v>3</v>
      </c>
    </row>
    <row r="73" spans="1:2" x14ac:dyDescent="0.3">
      <c r="A73" s="4" t="s">
        <v>156</v>
      </c>
      <c r="B73" s="1">
        <v>2</v>
      </c>
    </row>
    <row r="74" spans="1:2" x14ac:dyDescent="0.3">
      <c r="A74" s="4" t="s">
        <v>180</v>
      </c>
      <c r="B74" s="1">
        <v>1</v>
      </c>
    </row>
    <row r="75" spans="1:2" x14ac:dyDescent="0.3">
      <c r="A75" s="4" t="s">
        <v>130</v>
      </c>
      <c r="B75" s="1">
        <v>4</v>
      </c>
    </row>
    <row r="76" spans="1:2" x14ac:dyDescent="0.3">
      <c r="A76" s="4" t="s">
        <v>161</v>
      </c>
      <c r="B76" s="1">
        <v>1</v>
      </c>
    </row>
    <row r="77" spans="1:2" x14ac:dyDescent="0.3">
      <c r="A77" s="4" t="s">
        <v>125</v>
      </c>
      <c r="B77" s="1">
        <v>2</v>
      </c>
    </row>
    <row r="78" spans="1:2" x14ac:dyDescent="0.3">
      <c r="A78" s="4" t="s">
        <v>207</v>
      </c>
      <c r="B78" s="1">
        <v>0</v>
      </c>
    </row>
    <row r="79" spans="1:2" x14ac:dyDescent="0.3">
      <c r="A79" s="4" t="s">
        <v>208</v>
      </c>
      <c r="B79" s="1">
        <v>1</v>
      </c>
    </row>
    <row r="80" spans="1:2" x14ac:dyDescent="0.3">
      <c r="A80" s="4" t="s">
        <v>193</v>
      </c>
      <c r="B80" s="1">
        <v>4</v>
      </c>
    </row>
    <row r="81" spans="1:2" x14ac:dyDescent="0.3">
      <c r="A81" s="4" t="s">
        <v>132</v>
      </c>
      <c r="B81" s="1">
        <v>4</v>
      </c>
    </row>
    <row r="82" spans="1:2" x14ac:dyDescent="0.3">
      <c r="A82" s="4" t="s">
        <v>158</v>
      </c>
      <c r="B82" s="1">
        <v>4</v>
      </c>
    </row>
    <row r="83" spans="1:2" x14ac:dyDescent="0.3">
      <c r="A83" s="4" t="s">
        <v>123</v>
      </c>
      <c r="B83" s="1">
        <v>4</v>
      </c>
    </row>
    <row r="84" spans="1:2" x14ac:dyDescent="0.3">
      <c r="A84" s="4" t="s">
        <v>206</v>
      </c>
      <c r="B84" s="1">
        <v>5</v>
      </c>
    </row>
    <row r="85" spans="1:2" x14ac:dyDescent="0.3">
      <c r="A85" s="4" t="s">
        <v>210</v>
      </c>
      <c r="B85" s="1">
        <v>5</v>
      </c>
    </row>
    <row r="86" spans="1:2" x14ac:dyDescent="0.3">
      <c r="A86" s="4" t="s">
        <v>113</v>
      </c>
      <c r="B86" s="1">
        <v>1</v>
      </c>
    </row>
    <row r="87" spans="1:2" x14ac:dyDescent="0.3">
      <c r="A87" s="4" t="s">
        <v>191</v>
      </c>
      <c r="B87" s="1">
        <v>2</v>
      </c>
    </row>
    <row r="88" spans="1:2" x14ac:dyDescent="0.3">
      <c r="A88" s="4" t="s">
        <v>118</v>
      </c>
      <c r="B88" s="1">
        <v>5</v>
      </c>
    </row>
    <row r="89" spans="1:2" x14ac:dyDescent="0.3">
      <c r="A89" s="4" t="s">
        <v>155</v>
      </c>
      <c r="B89" s="1">
        <v>5</v>
      </c>
    </row>
    <row r="90" spans="1:2" x14ac:dyDescent="0.3">
      <c r="A90" s="4" t="s">
        <v>189</v>
      </c>
      <c r="B90" s="1">
        <v>3</v>
      </c>
    </row>
    <row r="91" spans="1:2" x14ac:dyDescent="0.3">
      <c r="A91" s="4" t="s">
        <v>197</v>
      </c>
      <c r="B91" s="1">
        <v>1</v>
      </c>
    </row>
    <row r="92" spans="1:2" x14ac:dyDescent="0.3">
      <c r="A92" s="4" t="s">
        <v>148</v>
      </c>
      <c r="B92" s="1">
        <v>3</v>
      </c>
    </row>
    <row r="93" spans="1:2" x14ac:dyDescent="0.3">
      <c r="A93" s="4" t="s">
        <v>142</v>
      </c>
      <c r="B93" s="1">
        <v>5</v>
      </c>
    </row>
    <row r="94" spans="1:2" x14ac:dyDescent="0.3">
      <c r="A94" s="4" t="s">
        <v>115</v>
      </c>
      <c r="B94" s="1">
        <v>1</v>
      </c>
    </row>
    <row r="95" spans="1:2" x14ac:dyDescent="0.3">
      <c r="A95" s="4" t="s">
        <v>187</v>
      </c>
      <c r="B95" s="1">
        <v>5</v>
      </c>
    </row>
    <row r="96" spans="1:2" x14ac:dyDescent="0.3">
      <c r="A96" s="4" t="s">
        <v>160</v>
      </c>
      <c r="B96" s="1">
        <v>5</v>
      </c>
    </row>
    <row r="97" spans="1:2" x14ac:dyDescent="0.3">
      <c r="A97" s="4" t="s">
        <v>165</v>
      </c>
      <c r="B97" s="1">
        <v>5</v>
      </c>
    </row>
    <row r="98" spans="1:2" x14ac:dyDescent="0.3">
      <c r="A98" s="4" t="s">
        <v>171</v>
      </c>
      <c r="B98" s="1">
        <v>5</v>
      </c>
    </row>
    <row r="99" spans="1:2" x14ac:dyDescent="0.3">
      <c r="A99" s="4" t="s">
        <v>129</v>
      </c>
      <c r="B99" s="1">
        <v>5</v>
      </c>
    </row>
    <row r="100" spans="1:2" x14ac:dyDescent="0.3">
      <c r="A100" s="4" t="s">
        <v>177</v>
      </c>
      <c r="B100" s="1">
        <v>2</v>
      </c>
    </row>
    <row r="101" spans="1:2" x14ac:dyDescent="0.3">
      <c r="A101" s="4" t="s">
        <v>170</v>
      </c>
      <c r="B101" s="1">
        <v>3</v>
      </c>
    </row>
    <row r="102" spans="1:2" x14ac:dyDescent="0.3">
      <c r="A102" s="4" t="s">
        <v>190</v>
      </c>
      <c r="B102" s="1">
        <v>3</v>
      </c>
    </row>
    <row r="103" spans="1:2" x14ac:dyDescent="0.3">
      <c r="A103" s="4" t="s">
        <v>182</v>
      </c>
      <c r="B103" s="1">
        <v>3</v>
      </c>
    </row>
    <row r="104" spans="1:2" x14ac:dyDescent="0.3">
      <c r="A104" s="4" t="s">
        <v>253</v>
      </c>
      <c r="B104" s="1">
        <v>2.7475728155339807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265F-BD1B-439A-B741-A5AD9A84C25E}">
  <dimension ref="A3:B12"/>
  <sheetViews>
    <sheetView workbookViewId="0">
      <selection activeCell="A3" sqref="A3:B11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252</v>
      </c>
      <c r="B3" t="s">
        <v>267</v>
      </c>
    </row>
    <row r="4" spans="1:2" x14ac:dyDescent="0.3">
      <c r="A4" s="4" t="s">
        <v>235</v>
      </c>
      <c r="B4" s="1">
        <v>74</v>
      </c>
    </row>
    <row r="5" spans="1:2" x14ac:dyDescent="0.3">
      <c r="A5" s="4" t="s">
        <v>237</v>
      </c>
      <c r="B5" s="1">
        <v>44</v>
      </c>
    </row>
    <row r="6" spans="1:2" x14ac:dyDescent="0.3">
      <c r="A6" s="4" t="s">
        <v>238</v>
      </c>
      <c r="B6" s="1">
        <v>5</v>
      </c>
    </row>
    <row r="7" spans="1:2" x14ac:dyDescent="0.3">
      <c r="A7" s="4" t="s">
        <v>233</v>
      </c>
      <c r="B7" s="1">
        <v>38</v>
      </c>
    </row>
    <row r="8" spans="1:2" x14ac:dyDescent="0.3">
      <c r="A8" s="4" t="s">
        <v>232</v>
      </c>
      <c r="B8" s="1">
        <v>59</v>
      </c>
    </row>
    <row r="9" spans="1:2" x14ac:dyDescent="0.3">
      <c r="A9" s="4" t="s">
        <v>249</v>
      </c>
      <c r="B9" s="1">
        <v>6</v>
      </c>
    </row>
    <row r="10" spans="1:2" x14ac:dyDescent="0.3">
      <c r="A10" s="4" t="s">
        <v>234</v>
      </c>
      <c r="B10" s="1">
        <v>44</v>
      </c>
    </row>
    <row r="11" spans="1:2" x14ac:dyDescent="0.3">
      <c r="A11" s="4" t="s">
        <v>269</v>
      </c>
      <c r="B11" s="1">
        <v>13</v>
      </c>
    </row>
    <row r="12" spans="1:2" x14ac:dyDescent="0.3">
      <c r="A12" s="4" t="s">
        <v>253</v>
      </c>
      <c r="B12" s="1">
        <v>283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F942-E0C8-400C-97EE-F2CD30AB4A19}">
  <dimension ref="A3:B16"/>
  <sheetViews>
    <sheetView workbookViewId="0">
      <selection activeCell="A3" sqref="A3:B1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252</v>
      </c>
      <c r="B3" t="s">
        <v>267</v>
      </c>
    </row>
    <row r="4" spans="1:2" x14ac:dyDescent="0.3">
      <c r="A4" s="4" t="s">
        <v>255</v>
      </c>
      <c r="B4" s="1">
        <v>29</v>
      </c>
    </row>
    <row r="5" spans="1:2" x14ac:dyDescent="0.3">
      <c r="A5" s="4" t="s">
        <v>256</v>
      </c>
      <c r="B5" s="1">
        <v>34</v>
      </c>
    </row>
    <row r="6" spans="1:2" x14ac:dyDescent="0.3">
      <c r="A6" s="4" t="s">
        <v>257</v>
      </c>
      <c r="B6" s="1">
        <v>17</v>
      </c>
    </row>
    <row r="7" spans="1:2" x14ac:dyDescent="0.3">
      <c r="A7" s="4" t="s">
        <v>258</v>
      </c>
      <c r="B7" s="1">
        <v>2</v>
      </c>
    </row>
    <row r="8" spans="1:2" x14ac:dyDescent="0.3">
      <c r="A8" s="4" t="s">
        <v>259</v>
      </c>
      <c r="B8" s="1">
        <v>33</v>
      </c>
    </row>
    <row r="9" spans="1:2" x14ac:dyDescent="0.3">
      <c r="A9" s="4" t="s">
        <v>260</v>
      </c>
      <c r="B9" s="1">
        <v>27</v>
      </c>
    </row>
    <row r="10" spans="1:2" x14ac:dyDescent="0.3">
      <c r="A10" s="4" t="s">
        <v>261</v>
      </c>
      <c r="B10" s="1">
        <v>33</v>
      </c>
    </row>
    <row r="11" spans="1:2" x14ac:dyDescent="0.3">
      <c r="A11" s="4" t="s">
        <v>262</v>
      </c>
      <c r="B11" s="1">
        <v>11</v>
      </c>
    </row>
    <row r="12" spans="1:2" x14ac:dyDescent="0.3">
      <c r="A12" s="4" t="s">
        <v>263</v>
      </c>
      <c r="B12" s="1">
        <v>18</v>
      </c>
    </row>
    <row r="13" spans="1:2" x14ac:dyDescent="0.3">
      <c r="A13" s="4" t="s">
        <v>264</v>
      </c>
      <c r="B13" s="1">
        <v>31</v>
      </c>
    </row>
    <row r="14" spans="1:2" x14ac:dyDescent="0.3">
      <c r="A14" s="4" t="s">
        <v>265</v>
      </c>
      <c r="B14" s="1">
        <v>30</v>
      </c>
    </row>
    <row r="15" spans="1:2" x14ac:dyDescent="0.3">
      <c r="A15" s="4" t="s">
        <v>266</v>
      </c>
      <c r="B15" s="1">
        <v>18</v>
      </c>
    </row>
    <row r="16" spans="1:2" x14ac:dyDescent="0.3">
      <c r="A16" s="4" t="s">
        <v>253</v>
      </c>
      <c r="B16" s="1">
        <v>283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0440-8127-439D-92DF-19C360F883DB}">
  <dimension ref="A3:B8"/>
  <sheetViews>
    <sheetView workbookViewId="0">
      <selection activeCell="B7" sqref="A3:B7"/>
    </sheetView>
  </sheetViews>
  <sheetFormatPr defaultRowHeight="14.4" x14ac:dyDescent="0.3"/>
  <cols>
    <col min="1" max="1" width="14.5546875" bestFit="1" customWidth="1"/>
    <col min="2" max="2" width="14.109375" bestFit="1" customWidth="1"/>
  </cols>
  <sheetData>
    <row r="3" spans="1:2" x14ac:dyDescent="0.3">
      <c r="A3" s="3" t="s">
        <v>252</v>
      </c>
      <c r="B3" t="s">
        <v>271</v>
      </c>
    </row>
    <row r="4" spans="1:2" x14ac:dyDescent="0.3">
      <c r="A4" s="4" t="s">
        <v>242</v>
      </c>
      <c r="B4" s="1">
        <v>23</v>
      </c>
    </row>
    <row r="5" spans="1:2" x14ac:dyDescent="0.3">
      <c r="A5" s="4" t="s">
        <v>240</v>
      </c>
      <c r="B5" s="1">
        <v>33</v>
      </c>
    </row>
    <row r="6" spans="1:2" x14ac:dyDescent="0.3">
      <c r="A6" s="4" t="s">
        <v>243</v>
      </c>
      <c r="B6" s="1">
        <v>23</v>
      </c>
    </row>
    <row r="7" spans="1:2" x14ac:dyDescent="0.3">
      <c r="A7" s="4" t="s">
        <v>241</v>
      </c>
      <c r="B7" s="1">
        <v>24</v>
      </c>
    </row>
    <row r="8" spans="1:2" x14ac:dyDescent="0.3">
      <c r="A8" s="4" t="s">
        <v>253</v>
      </c>
      <c r="B8" s="1">
        <v>103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17FF-5D79-4695-8CF7-949B62EFC26F}">
  <dimension ref="A3:B104"/>
  <sheetViews>
    <sheetView topLeftCell="A79" workbookViewId="0">
      <selection activeCell="A3" sqref="A3:B103"/>
    </sheetView>
  </sheetViews>
  <sheetFormatPr defaultRowHeight="14.4" x14ac:dyDescent="0.3"/>
  <cols>
    <col min="1" max="1" width="12.5546875" bestFit="1" customWidth="1"/>
    <col min="2" max="2" width="11.5546875" bestFit="1" customWidth="1"/>
  </cols>
  <sheetData>
    <row r="3" spans="1:2" x14ac:dyDescent="0.3">
      <c r="A3" s="3" t="s">
        <v>252</v>
      </c>
      <c r="B3" t="s">
        <v>254</v>
      </c>
    </row>
    <row r="4" spans="1:2" x14ac:dyDescent="0.3">
      <c r="A4" s="4" t="s">
        <v>137</v>
      </c>
      <c r="B4" s="1">
        <v>836.8</v>
      </c>
    </row>
    <row r="5" spans="1:2" x14ac:dyDescent="0.3">
      <c r="A5" s="4" t="s">
        <v>134</v>
      </c>
      <c r="B5" s="1">
        <v>615.91</v>
      </c>
    </row>
    <row r="6" spans="1:2" x14ac:dyDescent="0.3">
      <c r="A6" s="4" t="s">
        <v>139</v>
      </c>
      <c r="B6" s="1">
        <v>898.69</v>
      </c>
    </row>
    <row r="7" spans="1:2" x14ac:dyDescent="0.3">
      <c r="A7" s="4" t="s">
        <v>154</v>
      </c>
      <c r="B7" s="1">
        <v>826.77</v>
      </c>
    </row>
    <row r="8" spans="1:2" x14ac:dyDescent="0.3">
      <c r="A8" s="4" t="s">
        <v>209</v>
      </c>
      <c r="B8" s="1">
        <v>497.01</v>
      </c>
    </row>
    <row r="9" spans="1:2" x14ac:dyDescent="0.3">
      <c r="A9" s="4" t="s">
        <v>131</v>
      </c>
      <c r="B9" s="1">
        <v>0</v>
      </c>
    </row>
    <row r="10" spans="1:2" x14ac:dyDescent="0.3">
      <c r="A10" s="4" t="s">
        <v>145</v>
      </c>
      <c r="B10" s="1">
        <v>591.53</v>
      </c>
    </row>
    <row r="11" spans="1:2" x14ac:dyDescent="0.3">
      <c r="A11" s="4" t="s">
        <v>185</v>
      </c>
      <c r="B11" s="1">
        <v>187.48</v>
      </c>
    </row>
    <row r="12" spans="1:2" x14ac:dyDescent="0.3">
      <c r="A12" s="4" t="s">
        <v>120</v>
      </c>
      <c r="B12" s="1">
        <v>168.34</v>
      </c>
    </row>
    <row r="13" spans="1:2" x14ac:dyDescent="0.3">
      <c r="A13" s="4" t="s">
        <v>166</v>
      </c>
      <c r="B13" s="1">
        <v>40.950000000000003</v>
      </c>
    </row>
    <row r="14" spans="1:2" x14ac:dyDescent="0.3">
      <c r="A14" s="4" t="s">
        <v>194</v>
      </c>
      <c r="B14" s="1">
        <v>0</v>
      </c>
    </row>
    <row r="15" spans="1:2" x14ac:dyDescent="0.3">
      <c r="A15" s="4" t="s">
        <v>147</v>
      </c>
      <c r="B15" s="1">
        <v>696.71</v>
      </c>
    </row>
    <row r="16" spans="1:2" x14ac:dyDescent="0.3">
      <c r="A16" s="4" t="s">
        <v>133</v>
      </c>
      <c r="B16" s="1">
        <v>556.92999999999995</v>
      </c>
    </row>
    <row r="17" spans="1:2" x14ac:dyDescent="0.3">
      <c r="A17" s="4" t="s">
        <v>181</v>
      </c>
      <c r="B17" s="1">
        <v>741.63</v>
      </c>
    </row>
    <row r="18" spans="1:2" x14ac:dyDescent="0.3">
      <c r="A18" s="4" t="s">
        <v>116</v>
      </c>
      <c r="B18" s="1">
        <v>122.06</v>
      </c>
    </row>
    <row r="19" spans="1:2" x14ac:dyDescent="0.3">
      <c r="A19" s="4" t="s">
        <v>175</v>
      </c>
      <c r="B19" s="1">
        <v>587.64</v>
      </c>
    </row>
    <row r="20" spans="1:2" x14ac:dyDescent="0.3">
      <c r="A20" s="4" t="s">
        <v>136</v>
      </c>
      <c r="B20" s="1">
        <v>765.69</v>
      </c>
    </row>
    <row r="21" spans="1:2" x14ac:dyDescent="0.3">
      <c r="A21" s="4" t="s">
        <v>124</v>
      </c>
      <c r="B21" s="1">
        <v>411.81</v>
      </c>
    </row>
    <row r="22" spans="1:2" x14ac:dyDescent="0.3">
      <c r="A22" s="4" t="s">
        <v>174</v>
      </c>
      <c r="B22" s="1">
        <v>235.26</v>
      </c>
    </row>
    <row r="23" spans="1:2" x14ac:dyDescent="0.3">
      <c r="A23" s="4" t="s">
        <v>117</v>
      </c>
      <c r="B23" s="1">
        <v>978.63</v>
      </c>
    </row>
    <row r="24" spans="1:2" x14ac:dyDescent="0.3">
      <c r="A24" s="4" t="s">
        <v>172</v>
      </c>
      <c r="B24" s="1">
        <v>209.32</v>
      </c>
    </row>
    <row r="25" spans="1:2" x14ac:dyDescent="0.3">
      <c r="A25" s="4" t="s">
        <v>173</v>
      </c>
      <c r="B25" s="1">
        <v>155.76</v>
      </c>
    </row>
    <row r="26" spans="1:2" x14ac:dyDescent="0.3">
      <c r="A26" s="4" t="s">
        <v>164</v>
      </c>
      <c r="B26" s="1">
        <v>278.89999999999998</v>
      </c>
    </row>
    <row r="27" spans="1:2" x14ac:dyDescent="0.3">
      <c r="A27" s="4" t="s">
        <v>178</v>
      </c>
      <c r="B27" s="1">
        <v>593.92999999999995</v>
      </c>
    </row>
    <row r="28" spans="1:2" x14ac:dyDescent="0.3">
      <c r="A28" s="4" t="s">
        <v>200</v>
      </c>
      <c r="B28" s="1">
        <v>814.68</v>
      </c>
    </row>
    <row r="29" spans="1:2" x14ac:dyDescent="0.3">
      <c r="A29" s="4" t="s">
        <v>157</v>
      </c>
      <c r="B29" s="1">
        <v>1410.84</v>
      </c>
    </row>
    <row r="30" spans="1:2" x14ac:dyDescent="0.3">
      <c r="A30" s="4" t="s">
        <v>146</v>
      </c>
      <c r="B30" s="1">
        <v>446.19</v>
      </c>
    </row>
    <row r="31" spans="1:2" x14ac:dyDescent="0.3">
      <c r="A31" s="4" t="s">
        <v>141</v>
      </c>
      <c r="B31" s="1">
        <v>0</v>
      </c>
    </row>
    <row r="32" spans="1:2" x14ac:dyDescent="0.3">
      <c r="A32" s="4" t="s">
        <v>149</v>
      </c>
      <c r="B32" s="1">
        <v>531.05999999999995</v>
      </c>
    </row>
    <row r="33" spans="1:2" x14ac:dyDescent="0.3">
      <c r="A33" s="4" t="s">
        <v>168</v>
      </c>
      <c r="B33" s="1">
        <v>275.10000000000002</v>
      </c>
    </row>
    <row r="34" spans="1:2" x14ac:dyDescent="0.3">
      <c r="A34" s="4" t="s">
        <v>167</v>
      </c>
      <c r="B34" s="1">
        <v>0</v>
      </c>
    </row>
    <row r="35" spans="1:2" x14ac:dyDescent="0.3">
      <c r="A35" s="4" t="s">
        <v>203</v>
      </c>
      <c r="B35" s="1">
        <v>203.63</v>
      </c>
    </row>
    <row r="36" spans="1:2" x14ac:dyDescent="0.3">
      <c r="A36" s="4" t="s">
        <v>112</v>
      </c>
      <c r="B36" s="1">
        <v>0</v>
      </c>
    </row>
    <row r="37" spans="1:2" x14ac:dyDescent="0.3">
      <c r="A37" s="4" t="s">
        <v>169</v>
      </c>
      <c r="B37" s="1">
        <v>933.58</v>
      </c>
    </row>
    <row r="38" spans="1:2" x14ac:dyDescent="0.3">
      <c r="A38" s="4" t="s">
        <v>150</v>
      </c>
      <c r="B38" s="1">
        <v>681.38</v>
      </c>
    </row>
    <row r="39" spans="1:2" x14ac:dyDescent="0.3">
      <c r="A39" s="4" t="s">
        <v>159</v>
      </c>
      <c r="B39" s="1">
        <v>660.98</v>
      </c>
    </row>
    <row r="40" spans="1:2" x14ac:dyDescent="0.3">
      <c r="A40" s="4" t="s">
        <v>201</v>
      </c>
      <c r="B40" s="1">
        <v>920.37</v>
      </c>
    </row>
    <row r="41" spans="1:2" x14ac:dyDescent="0.3">
      <c r="A41" s="4" t="s">
        <v>143</v>
      </c>
      <c r="B41" s="1">
        <v>266.7</v>
      </c>
    </row>
    <row r="42" spans="1:2" x14ac:dyDescent="0.3">
      <c r="A42" s="4" t="s">
        <v>111</v>
      </c>
      <c r="B42" s="1">
        <v>38</v>
      </c>
    </row>
    <row r="43" spans="1:2" x14ac:dyDescent="0.3">
      <c r="A43" s="4" t="s">
        <v>198</v>
      </c>
      <c r="B43" s="1">
        <v>882.96</v>
      </c>
    </row>
    <row r="44" spans="1:2" x14ac:dyDescent="0.3">
      <c r="A44" s="4" t="s">
        <v>202</v>
      </c>
      <c r="B44" s="1">
        <v>881.02</v>
      </c>
    </row>
    <row r="45" spans="1:2" x14ac:dyDescent="0.3">
      <c r="A45" s="4" t="s">
        <v>184</v>
      </c>
      <c r="B45" s="1">
        <v>351.89</v>
      </c>
    </row>
    <row r="46" spans="1:2" x14ac:dyDescent="0.3">
      <c r="A46" s="4" t="s">
        <v>204</v>
      </c>
      <c r="B46" s="1">
        <v>522.02</v>
      </c>
    </row>
    <row r="47" spans="1:2" x14ac:dyDescent="0.3">
      <c r="A47" s="4" t="s">
        <v>152</v>
      </c>
      <c r="B47" s="1">
        <v>546.04</v>
      </c>
    </row>
    <row r="48" spans="1:2" x14ac:dyDescent="0.3">
      <c r="A48" s="4" t="s">
        <v>135</v>
      </c>
      <c r="B48" s="1">
        <v>0</v>
      </c>
    </row>
    <row r="49" spans="1:2" x14ac:dyDescent="0.3">
      <c r="A49" s="4" t="s">
        <v>183</v>
      </c>
      <c r="B49" s="1">
        <v>942.76</v>
      </c>
    </row>
    <row r="50" spans="1:2" x14ac:dyDescent="0.3">
      <c r="A50" s="4" t="s">
        <v>140</v>
      </c>
      <c r="B50" s="1">
        <v>736.71</v>
      </c>
    </row>
    <row r="51" spans="1:2" x14ac:dyDescent="0.3">
      <c r="A51" s="4" t="s">
        <v>179</v>
      </c>
      <c r="B51" s="1">
        <v>141.49</v>
      </c>
    </row>
    <row r="52" spans="1:2" x14ac:dyDescent="0.3">
      <c r="A52" s="4" t="s">
        <v>192</v>
      </c>
      <c r="B52" s="1">
        <v>266.48</v>
      </c>
    </row>
    <row r="53" spans="1:2" x14ac:dyDescent="0.3">
      <c r="A53" s="4" t="s">
        <v>176</v>
      </c>
      <c r="B53" s="1">
        <v>443.13</v>
      </c>
    </row>
    <row r="54" spans="1:2" x14ac:dyDescent="0.3">
      <c r="A54" s="4" t="s">
        <v>162</v>
      </c>
      <c r="B54" s="1">
        <v>457.16</v>
      </c>
    </row>
    <row r="55" spans="1:2" x14ac:dyDescent="0.3">
      <c r="A55" s="4" t="s">
        <v>186</v>
      </c>
      <c r="B55" s="1">
        <v>222.72</v>
      </c>
    </row>
    <row r="56" spans="1:2" x14ac:dyDescent="0.3">
      <c r="A56" s="4" t="s">
        <v>196</v>
      </c>
      <c r="B56" s="1">
        <v>730.92</v>
      </c>
    </row>
    <row r="57" spans="1:2" x14ac:dyDescent="0.3">
      <c r="A57" s="4" t="s">
        <v>114</v>
      </c>
      <c r="B57" s="1">
        <v>233.92</v>
      </c>
    </row>
    <row r="58" spans="1:2" x14ac:dyDescent="0.3">
      <c r="A58" s="4" t="s">
        <v>199</v>
      </c>
      <c r="B58" s="1">
        <v>504.05</v>
      </c>
    </row>
    <row r="59" spans="1:2" x14ac:dyDescent="0.3">
      <c r="A59" s="4" t="s">
        <v>121</v>
      </c>
      <c r="B59" s="1">
        <v>0</v>
      </c>
    </row>
    <row r="60" spans="1:2" x14ac:dyDescent="0.3">
      <c r="A60" s="4" t="s">
        <v>127</v>
      </c>
      <c r="B60" s="1">
        <v>0</v>
      </c>
    </row>
    <row r="61" spans="1:2" x14ac:dyDescent="0.3">
      <c r="A61" s="4" t="s">
        <v>188</v>
      </c>
      <c r="B61" s="1">
        <v>69.48</v>
      </c>
    </row>
    <row r="62" spans="1:2" x14ac:dyDescent="0.3">
      <c r="A62" s="4" t="s">
        <v>119</v>
      </c>
      <c r="B62" s="1">
        <v>600.29</v>
      </c>
    </row>
    <row r="63" spans="1:2" x14ac:dyDescent="0.3">
      <c r="A63" s="4" t="s">
        <v>138</v>
      </c>
      <c r="B63" s="1">
        <v>336.02</v>
      </c>
    </row>
    <row r="64" spans="1:2" x14ac:dyDescent="0.3">
      <c r="A64" s="4" t="s">
        <v>151</v>
      </c>
      <c r="B64" s="1">
        <v>588.98</v>
      </c>
    </row>
    <row r="65" spans="1:2" x14ac:dyDescent="0.3">
      <c r="A65" s="4" t="s">
        <v>195</v>
      </c>
      <c r="B65" s="1">
        <v>101.19</v>
      </c>
    </row>
    <row r="66" spans="1:2" x14ac:dyDescent="0.3">
      <c r="A66" s="4" t="s">
        <v>144</v>
      </c>
      <c r="B66" s="1">
        <v>343.24</v>
      </c>
    </row>
    <row r="67" spans="1:2" x14ac:dyDescent="0.3">
      <c r="A67" s="4" t="s">
        <v>153</v>
      </c>
      <c r="B67" s="1">
        <v>1290.52</v>
      </c>
    </row>
    <row r="68" spans="1:2" x14ac:dyDescent="0.3">
      <c r="A68" s="4" t="s">
        <v>205</v>
      </c>
      <c r="B68" s="1">
        <v>944.54</v>
      </c>
    </row>
    <row r="69" spans="1:2" x14ac:dyDescent="0.3">
      <c r="A69" s="4" t="s">
        <v>122</v>
      </c>
      <c r="B69" s="1">
        <v>865.77</v>
      </c>
    </row>
    <row r="70" spans="1:2" x14ac:dyDescent="0.3">
      <c r="A70" s="4" t="s">
        <v>128</v>
      </c>
      <c r="B70" s="1">
        <v>10000</v>
      </c>
    </row>
    <row r="71" spans="1:2" x14ac:dyDescent="0.3">
      <c r="A71" s="4" t="s">
        <v>126</v>
      </c>
      <c r="B71" s="1">
        <v>796.84</v>
      </c>
    </row>
    <row r="72" spans="1:2" x14ac:dyDescent="0.3">
      <c r="A72" s="4" t="s">
        <v>163</v>
      </c>
      <c r="B72" s="1">
        <v>233.11</v>
      </c>
    </row>
    <row r="73" spans="1:2" x14ac:dyDescent="0.3">
      <c r="A73" s="4" t="s">
        <v>156</v>
      </c>
      <c r="B73" s="1">
        <v>860.99</v>
      </c>
    </row>
    <row r="74" spans="1:2" x14ac:dyDescent="0.3">
      <c r="A74" s="4" t="s">
        <v>180</v>
      </c>
      <c r="B74" s="1">
        <v>582.13</v>
      </c>
    </row>
    <row r="75" spans="1:2" x14ac:dyDescent="0.3">
      <c r="A75" s="4" t="s">
        <v>130</v>
      </c>
      <c r="B75" s="1">
        <v>438.19</v>
      </c>
    </row>
    <row r="76" spans="1:2" x14ac:dyDescent="0.3">
      <c r="A76" s="4" t="s">
        <v>161</v>
      </c>
      <c r="B76" s="1">
        <v>206.19</v>
      </c>
    </row>
    <row r="77" spans="1:2" x14ac:dyDescent="0.3">
      <c r="A77" s="4" t="s">
        <v>125</v>
      </c>
      <c r="B77" s="1">
        <v>413.13</v>
      </c>
    </row>
    <row r="78" spans="1:2" x14ac:dyDescent="0.3">
      <c r="A78" s="4" t="s">
        <v>207</v>
      </c>
      <c r="B78" s="1">
        <v>0</v>
      </c>
    </row>
    <row r="79" spans="1:2" x14ac:dyDescent="0.3">
      <c r="A79" s="4" t="s">
        <v>208</v>
      </c>
      <c r="B79" s="1">
        <v>160.16</v>
      </c>
    </row>
    <row r="80" spans="1:2" x14ac:dyDescent="0.3">
      <c r="A80" s="4" t="s">
        <v>193</v>
      </c>
      <c r="B80" s="1">
        <v>538.35</v>
      </c>
    </row>
    <row r="81" spans="1:2" x14ac:dyDescent="0.3">
      <c r="A81" s="4" t="s">
        <v>132</v>
      </c>
      <c r="B81" s="1">
        <v>523.01</v>
      </c>
    </row>
    <row r="82" spans="1:2" x14ac:dyDescent="0.3">
      <c r="A82" s="4" t="s">
        <v>158</v>
      </c>
      <c r="B82" s="1">
        <v>596.15</v>
      </c>
    </row>
    <row r="83" spans="1:2" x14ac:dyDescent="0.3">
      <c r="A83" s="4" t="s">
        <v>123</v>
      </c>
      <c r="B83" s="1">
        <v>752.13</v>
      </c>
    </row>
    <row r="84" spans="1:2" x14ac:dyDescent="0.3">
      <c r="A84" s="4" t="s">
        <v>206</v>
      </c>
      <c r="B84" s="1">
        <v>817.46</v>
      </c>
    </row>
    <row r="85" spans="1:2" x14ac:dyDescent="0.3">
      <c r="A85" s="4" t="s">
        <v>210</v>
      </c>
      <c r="B85" s="1">
        <v>372.28</v>
      </c>
    </row>
    <row r="86" spans="1:2" x14ac:dyDescent="0.3">
      <c r="A86" s="4" t="s">
        <v>113</v>
      </c>
      <c r="B86" s="1">
        <v>389.05</v>
      </c>
    </row>
    <row r="87" spans="1:2" x14ac:dyDescent="0.3">
      <c r="A87" s="4" t="s">
        <v>191</v>
      </c>
      <c r="B87" s="1">
        <v>418.38</v>
      </c>
    </row>
    <row r="88" spans="1:2" x14ac:dyDescent="0.3">
      <c r="A88" s="4" t="s">
        <v>118</v>
      </c>
      <c r="B88" s="1">
        <v>587.67999999999995</v>
      </c>
    </row>
    <row r="89" spans="1:2" x14ac:dyDescent="0.3">
      <c r="A89" s="4" t="s">
        <v>155</v>
      </c>
      <c r="B89" s="1">
        <v>849.07</v>
      </c>
    </row>
    <row r="90" spans="1:2" x14ac:dyDescent="0.3">
      <c r="A90" s="4" t="s">
        <v>189</v>
      </c>
      <c r="B90" s="1">
        <v>472.14</v>
      </c>
    </row>
    <row r="91" spans="1:2" x14ac:dyDescent="0.3">
      <c r="A91" s="4" t="s">
        <v>197</v>
      </c>
      <c r="B91" s="1">
        <v>365.34</v>
      </c>
    </row>
    <row r="92" spans="1:2" x14ac:dyDescent="0.3">
      <c r="A92" s="4" t="s">
        <v>148</v>
      </c>
      <c r="B92" s="1">
        <v>-100</v>
      </c>
    </row>
    <row r="93" spans="1:2" x14ac:dyDescent="0.3">
      <c r="A93" s="4" t="s">
        <v>142</v>
      </c>
      <c r="B93" s="1">
        <v>616.63</v>
      </c>
    </row>
    <row r="94" spans="1:2" x14ac:dyDescent="0.3">
      <c r="A94" s="4" t="s">
        <v>115</v>
      </c>
      <c r="B94" s="1">
        <v>552.51</v>
      </c>
    </row>
    <row r="95" spans="1:2" x14ac:dyDescent="0.3">
      <c r="A95" s="4" t="s">
        <v>187</v>
      </c>
      <c r="B95" s="1">
        <v>530.52</v>
      </c>
    </row>
    <row r="96" spans="1:2" x14ac:dyDescent="0.3">
      <c r="A96" s="4" t="s">
        <v>160</v>
      </c>
      <c r="B96" s="1">
        <v>896.38</v>
      </c>
    </row>
    <row r="97" spans="1:2" x14ac:dyDescent="0.3">
      <c r="A97" s="4" t="s">
        <v>165</v>
      </c>
      <c r="B97" s="1">
        <v>789.64</v>
      </c>
    </row>
    <row r="98" spans="1:2" x14ac:dyDescent="0.3">
      <c r="A98" s="4" t="s">
        <v>171</v>
      </c>
      <c r="B98" s="1">
        <v>242.52</v>
      </c>
    </row>
    <row r="99" spans="1:2" x14ac:dyDescent="0.3">
      <c r="A99" s="4" t="s">
        <v>129</v>
      </c>
      <c r="B99" s="1">
        <v>247.82</v>
      </c>
    </row>
    <row r="100" spans="1:2" x14ac:dyDescent="0.3">
      <c r="A100" s="4" t="s">
        <v>177</v>
      </c>
      <c r="B100" s="1">
        <v>569.38</v>
      </c>
    </row>
    <row r="101" spans="1:2" x14ac:dyDescent="0.3">
      <c r="A101" s="4" t="s">
        <v>170</v>
      </c>
      <c r="B101" s="1">
        <v>163.16</v>
      </c>
    </row>
    <row r="102" spans="1:2" x14ac:dyDescent="0.3">
      <c r="A102" s="4" t="s">
        <v>190</v>
      </c>
      <c r="B102" s="1">
        <v>868.67</v>
      </c>
    </row>
    <row r="103" spans="1:2" x14ac:dyDescent="0.3">
      <c r="A103" s="4" t="s">
        <v>182</v>
      </c>
      <c r="B103" s="1">
        <v>688.68</v>
      </c>
    </row>
    <row r="104" spans="1:2" x14ac:dyDescent="0.3">
      <c r="A104" s="4" t="s">
        <v>253</v>
      </c>
      <c r="B104" s="1">
        <v>57621.249999999978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76D0-3A2B-4F5F-B366-675FA4165B06}">
  <dimension ref="A3:B16"/>
  <sheetViews>
    <sheetView workbookViewId="0">
      <selection activeCell="A3" sqref="A3:B16"/>
    </sheetView>
  </sheetViews>
  <sheetFormatPr defaultRowHeight="14.4" x14ac:dyDescent="0.3"/>
  <cols>
    <col min="1" max="1" width="12.5546875" bestFit="1" customWidth="1"/>
    <col min="2" max="2" width="11.5546875" bestFit="1" customWidth="1"/>
  </cols>
  <sheetData>
    <row r="3" spans="1:2" x14ac:dyDescent="0.3">
      <c r="A3" s="3" t="s">
        <v>252</v>
      </c>
      <c r="B3" t="s">
        <v>254</v>
      </c>
    </row>
    <row r="4" spans="1:2" x14ac:dyDescent="0.3">
      <c r="A4" s="4" t="s">
        <v>255</v>
      </c>
      <c r="B4" s="1">
        <v>4561.3999999999996</v>
      </c>
    </row>
    <row r="5" spans="1:2" x14ac:dyDescent="0.3">
      <c r="A5" s="4" t="s">
        <v>256</v>
      </c>
      <c r="B5" s="1">
        <v>16552.64</v>
      </c>
    </row>
    <row r="6" spans="1:2" x14ac:dyDescent="0.3">
      <c r="A6" s="4" t="s">
        <v>257</v>
      </c>
      <c r="B6" s="1">
        <v>2065.41</v>
      </c>
    </row>
    <row r="7" spans="1:2" x14ac:dyDescent="0.3">
      <c r="A7" s="4" t="s">
        <v>258</v>
      </c>
      <c r="B7" s="1">
        <v>1200.28</v>
      </c>
    </row>
    <row r="8" spans="1:2" x14ac:dyDescent="0.3">
      <c r="A8" s="4" t="s">
        <v>259</v>
      </c>
      <c r="B8" s="1">
        <v>2938.7699999999995</v>
      </c>
    </row>
    <row r="9" spans="1:2" x14ac:dyDescent="0.3">
      <c r="A9" s="4" t="s">
        <v>260</v>
      </c>
      <c r="B9" s="1">
        <v>5366.44</v>
      </c>
    </row>
    <row r="10" spans="1:2" x14ac:dyDescent="0.3">
      <c r="A10" s="4" t="s">
        <v>261</v>
      </c>
      <c r="B10" s="1">
        <v>6096.05</v>
      </c>
    </row>
    <row r="11" spans="1:2" x14ac:dyDescent="0.3">
      <c r="A11" s="4" t="s">
        <v>262</v>
      </c>
      <c r="B11" s="1">
        <v>3791.0699999999997</v>
      </c>
    </row>
    <row r="12" spans="1:2" x14ac:dyDescent="0.3">
      <c r="A12" s="4" t="s">
        <v>263</v>
      </c>
      <c r="B12" s="1">
        <v>1761.4</v>
      </c>
    </row>
    <row r="13" spans="1:2" x14ac:dyDescent="0.3">
      <c r="A13" s="4" t="s">
        <v>264</v>
      </c>
      <c r="B13" s="1">
        <v>6498.4000000000005</v>
      </c>
    </row>
    <row r="14" spans="1:2" x14ac:dyDescent="0.3">
      <c r="A14" s="4" t="s">
        <v>265</v>
      </c>
      <c r="B14" s="1">
        <v>4454.43</v>
      </c>
    </row>
    <row r="15" spans="1:2" x14ac:dyDescent="0.3">
      <c r="A15" s="4" t="s">
        <v>266</v>
      </c>
      <c r="B15" s="1">
        <v>2334.96</v>
      </c>
    </row>
    <row r="16" spans="1:2" x14ac:dyDescent="0.3">
      <c r="A16" s="4" t="s">
        <v>253</v>
      </c>
      <c r="B16" s="1">
        <v>57621.25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1576-C42F-446B-999F-BED1A94D5503}">
  <dimension ref="Y34:AB40"/>
  <sheetViews>
    <sheetView showGridLines="0" showRowColHeaders="0" tabSelected="1" zoomScale="60" zoomScaleNormal="60" workbookViewId="0">
      <selection activeCell="AC29" sqref="AC29"/>
    </sheetView>
  </sheetViews>
  <sheetFormatPr defaultRowHeight="14.4" x14ac:dyDescent="0.3"/>
  <sheetData>
    <row r="34" spans="25:28" x14ac:dyDescent="0.3">
      <c r="Y34" t="s">
        <v>270</v>
      </c>
    </row>
    <row r="40" spans="25:28" x14ac:dyDescent="0.3">
      <c r="AB40" cm="1">
        <f t="array" aca="1" ref="AB40" ca="1">AB39:AD42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6060-3646-41D3-A8D2-7F5B7201B686}">
  <dimension ref="A1:L104"/>
  <sheetViews>
    <sheetView topLeftCell="A2" workbookViewId="0">
      <selection sqref="A1:L104"/>
    </sheetView>
  </sheetViews>
  <sheetFormatPr defaultRowHeight="14.4" x14ac:dyDescent="0.3"/>
  <cols>
    <col min="1" max="1" width="5" bestFit="1" customWidth="1"/>
    <col min="2" max="2" width="17.88671875" bestFit="1" customWidth="1"/>
    <col min="3" max="3" width="10.77734375" bestFit="1" customWidth="1"/>
    <col min="4" max="4" width="12.88671875" bestFit="1" customWidth="1"/>
    <col min="5" max="5" width="10.44140625" bestFit="1" customWidth="1"/>
    <col min="6" max="6" width="12.21875" bestFit="1" customWidth="1"/>
    <col min="7" max="7" width="12.33203125" bestFit="1" customWidth="1"/>
    <col min="8" max="8" width="10.5546875" bestFit="1" customWidth="1"/>
    <col min="9" max="9" width="7.33203125" bestFit="1" customWidth="1"/>
    <col min="10" max="10" width="18.6640625" bestFit="1" customWidth="1"/>
    <col min="11" max="11" width="9.5546875" bestFit="1" customWidth="1"/>
    <col min="12" max="12" width="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251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100</v>
      </c>
      <c r="B2" s="1" t="s">
        <v>11</v>
      </c>
      <c r="C2" s="1" t="s">
        <v>111</v>
      </c>
      <c r="D2" s="2">
        <v>45618</v>
      </c>
      <c r="E2" s="1" t="str">
        <f>TEXT(Table1_2[[#This Row],[Order_Date]],"mmm")</f>
        <v>Nov</v>
      </c>
      <c r="F2" s="1" t="s">
        <v>211</v>
      </c>
      <c r="G2" s="1" t="s">
        <v>232</v>
      </c>
      <c r="H2">
        <v>3</v>
      </c>
      <c r="I2">
        <v>38</v>
      </c>
      <c r="J2" s="1" t="s">
        <v>240</v>
      </c>
      <c r="K2" s="1" t="s">
        <v>244</v>
      </c>
      <c r="L2">
        <v>114</v>
      </c>
    </row>
    <row r="3" spans="1:12" x14ac:dyDescent="0.3">
      <c r="A3">
        <v>101</v>
      </c>
      <c r="B3" s="1" t="s">
        <v>12</v>
      </c>
      <c r="C3" s="1" t="s">
        <v>112</v>
      </c>
      <c r="D3" s="2">
        <v>45843</v>
      </c>
      <c r="E3" s="1" t="str">
        <f>TEXT(Table1_2[[#This Row],[Order_Date]],"mmm")</f>
        <v>Jul</v>
      </c>
      <c r="F3" s="1" t="s">
        <v>212</v>
      </c>
      <c r="G3" s="1" t="s">
        <v>233</v>
      </c>
      <c r="H3">
        <v>2</v>
      </c>
      <c r="I3">
        <v>0</v>
      </c>
      <c r="J3" s="1" t="s">
        <v>241</v>
      </c>
      <c r="K3" s="1" t="s">
        <v>245</v>
      </c>
      <c r="L3">
        <v>0</v>
      </c>
    </row>
    <row r="4" spans="1:12" x14ac:dyDescent="0.3">
      <c r="A4">
        <v>102</v>
      </c>
      <c r="B4" s="1" t="s">
        <v>13</v>
      </c>
      <c r="C4" s="1" t="s">
        <v>113</v>
      </c>
      <c r="D4" s="2">
        <v>45649</v>
      </c>
      <c r="E4" s="1" t="str">
        <f>TEXT(Table1_2[[#This Row],[Order_Date]],"mmm")</f>
        <v>Dec</v>
      </c>
      <c r="F4" s="1" t="s">
        <v>213</v>
      </c>
      <c r="G4" s="1" t="s">
        <v>234</v>
      </c>
      <c r="H4">
        <v>1</v>
      </c>
      <c r="I4">
        <v>389.05</v>
      </c>
      <c r="J4" s="1" t="s">
        <v>241</v>
      </c>
      <c r="K4" s="1" t="s">
        <v>246</v>
      </c>
      <c r="L4">
        <v>389.05</v>
      </c>
    </row>
    <row r="5" spans="1:12" x14ac:dyDescent="0.3">
      <c r="A5">
        <v>103</v>
      </c>
      <c r="B5" s="1" t="s">
        <v>14</v>
      </c>
      <c r="C5" s="1" t="s">
        <v>114</v>
      </c>
      <c r="D5" s="2">
        <v>45735</v>
      </c>
      <c r="E5" s="1" t="str">
        <f>TEXT(Table1_2[[#This Row],[Order_Date]],"mmm")</f>
        <v>Mar</v>
      </c>
      <c r="F5" s="1" t="s">
        <v>214</v>
      </c>
      <c r="G5" s="1" t="s">
        <v>235</v>
      </c>
      <c r="H5">
        <v>5</v>
      </c>
      <c r="I5">
        <v>233.92</v>
      </c>
      <c r="J5" s="1" t="s">
        <v>241</v>
      </c>
      <c r="K5" s="1" t="s">
        <v>245</v>
      </c>
      <c r="L5">
        <v>1169.5999999999999</v>
      </c>
    </row>
    <row r="6" spans="1:12" x14ac:dyDescent="0.3">
      <c r="A6">
        <v>104</v>
      </c>
      <c r="B6" s="1" t="s">
        <v>15</v>
      </c>
      <c r="C6" s="1" t="s">
        <v>115</v>
      </c>
      <c r="D6" s="2">
        <v>45950</v>
      </c>
      <c r="E6" s="1" t="str">
        <f>TEXT(Table1_2[[#This Row],[Order_Date]],"mmm")</f>
        <v>Oct</v>
      </c>
      <c r="F6" s="1" t="s">
        <v>215</v>
      </c>
      <c r="G6" s="1" t="s">
        <v>235</v>
      </c>
      <c r="H6">
        <v>1</v>
      </c>
      <c r="I6">
        <v>552.51</v>
      </c>
      <c r="J6" s="1" t="s">
        <v>240</v>
      </c>
      <c r="K6" s="1" t="s">
        <v>245</v>
      </c>
      <c r="L6">
        <v>552.51</v>
      </c>
    </row>
    <row r="7" spans="1:12" x14ac:dyDescent="0.3">
      <c r="A7">
        <v>105</v>
      </c>
      <c r="B7" s="1" t="s">
        <v>16</v>
      </c>
      <c r="C7" s="1" t="s">
        <v>116</v>
      </c>
      <c r="D7" s="2">
        <v>45616</v>
      </c>
      <c r="E7" s="1" t="str">
        <f>TEXT(Table1_2[[#This Row],[Order_Date]],"mmm")</f>
        <v>Nov</v>
      </c>
      <c r="F7" s="1" t="s">
        <v>213</v>
      </c>
      <c r="G7" s="1" t="s">
        <v>234</v>
      </c>
      <c r="H7">
        <v>3</v>
      </c>
      <c r="I7">
        <v>122.06</v>
      </c>
      <c r="J7" s="1" t="s">
        <v>240</v>
      </c>
      <c r="K7" s="1" t="s">
        <v>247</v>
      </c>
      <c r="L7">
        <v>366.18</v>
      </c>
    </row>
    <row r="8" spans="1:12" x14ac:dyDescent="0.3">
      <c r="A8">
        <v>106</v>
      </c>
      <c r="B8" s="1" t="s">
        <v>17</v>
      </c>
      <c r="C8" s="1" t="s">
        <v>117</v>
      </c>
      <c r="D8" s="2">
        <v>45690</v>
      </c>
      <c r="E8" s="1" t="str">
        <f>TEXT(Table1_2[[#This Row],[Order_Date]],"mmm")</f>
        <v>Feb</v>
      </c>
      <c r="F8" s="1" t="s">
        <v>211</v>
      </c>
      <c r="G8" s="1" t="s">
        <v>232</v>
      </c>
      <c r="H8">
        <v>0</v>
      </c>
      <c r="I8">
        <v>978.63</v>
      </c>
      <c r="J8" s="1" t="s">
        <v>242</v>
      </c>
      <c r="K8" s="1" t="s">
        <v>245</v>
      </c>
      <c r="L8">
        <v>0</v>
      </c>
    </row>
    <row r="9" spans="1:12" x14ac:dyDescent="0.3">
      <c r="A9">
        <v>107</v>
      </c>
      <c r="B9" s="1" t="s">
        <v>18</v>
      </c>
      <c r="C9" s="1" t="s">
        <v>118</v>
      </c>
      <c r="D9" s="2">
        <v>45660</v>
      </c>
      <c r="E9" s="1" t="str">
        <f>TEXT(Table1_2[[#This Row],[Order_Date]],"mmm")</f>
        <v>Jan</v>
      </c>
      <c r="F9" s="1" t="s">
        <v>215</v>
      </c>
      <c r="G9" s="1" t="s">
        <v>235</v>
      </c>
      <c r="H9">
        <v>5</v>
      </c>
      <c r="I9">
        <v>587.67999999999995</v>
      </c>
      <c r="J9" s="1" t="s">
        <v>241</v>
      </c>
      <c r="K9" s="1" t="s">
        <v>248</v>
      </c>
      <c r="L9">
        <v>2938.4</v>
      </c>
    </row>
    <row r="10" spans="1:12" x14ac:dyDescent="0.3">
      <c r="A10">
        <v>108</v>
      </c>
      <c r="B10" s="1" t="s">
        <v>19</v>
      </c>
      <c r="C10" s="1" t="s">
        <v>119</v>
      </c>
      <c r="D10" s="2">
        <v>45953</v>
      </c>
      <c r="E10" s="1" t="str">
        <f>TEXT(Table1_2[[#This Row],[Order_Date]],"mmm")</f>
        <v>Oct</v>
      </c>
      <c r="F10" s="1" t="s">
        <v>214</v>
      </c>
      <c r="G10" s="1" t="s">
        <v>235</v>
      </c>
      <c r="H10">
        <v>1</v>
      </c>
      <c r="I10">
        <v>600.29</v>
      </c>
      <c r="J10" s="1" t="s">
        <v>240</v>
      </c>
      <c r="K10" s="1" t="s">
        <v>245</v>
      </c>
      <c r="L10">
        <v>600.29</v>
      </c>
    </row>
    <row r="11" spans="1:12" x14ac:dyDescent="0.3">
      <c r="A11">
        <v>109</v>
      </c>
      <c r="B11" s="1" t="s">
        <v>20</v>
      </c>
      <c r="C11" s="1" t="s">
        <v>120</v>
      </c>
      <c r="D11" s="2">
        <v>45780</v>
      </c>
      <c r="E11" s="1" t="str">
        <f>TEXT(Table1_2[[#This Row],[Order_Date]],"mmm")</f>
        <v>May</v>
      </c>
      <c r="F11" s="1" t="s">
        <v>213</v>
      </c>
      <c r="G11" s="1" t="s">
        <v>234</v>
      </c>
      <c r="H11">
        <v>5</v>
      </c>
      <c r="I11">
        <v>168.34</v>
      </c>
      <c r="J11" s="1" t="s">
        <v>243</v>
      </c>
      <c r="K11" s="1" t="s">
        <v>244</v>
      </c>
      <c r="L11">
        <v>841.7</v>
      </c>
    </row>
    <row r="12" spans="1:12" x14ac:dyDescent="0.3">
      <c r="A12">
        <v>110</v>
      </c>
      <c r="B12" s="1" t="s">
        <v>21</v>
      </c>
      <c r="C12" s="1" t="s">
        <v>121</v>
      </c>
      <c r="D12" s="2">
        <v>45926</v>
      </c>
      <c r="E12" s="1" t="str">
        <f>TEXT(Table1_2[[#This Row],[Order_Date]],"mmm")</f>
        <v>Sep</v>
      </c>
      <c r="F12" s="1" t="s">
        <v>216</v>
      </c>
      <c r="G12" s="1" t="s">
        <v>250</v>
      </c>
      <c r="H12">
        <v>5</v>
      </c>
      <c r="I12">
        <v>0</v>
      </c>
      <c r="J12" s="1" t="s">
        <v>240</v>
      </c>
      <c r="K12" s="1" t="s">
        <v>247</v>
      </c>
      <c r="L12">
        <v>0</v>
      </c>
    </row>
    <row r="13" spans="1:12" x14ac:dyDescent="0.3">
      <c r="A13">
        <v>111</v>
      </c>
      <c r="B13" s="1" t="s">
        <v>22</v>
      </c>
      <c r="C13" s="1" t="s">
        <v>122</v>
      </c>
      <c r="D13" s="2">
        <v>45952</v>
      </c>
      <c r="E13" s="1" t="str">
        <f>TEXT(Table1_2[[#This Row],[Order_Date]],"mmm")</f>
        <v>Oct</v>
      </c>
      <c r="F13" s="1" t="s">
        <v>217</v>
      </c>
      <c r="G13" s="1" t="s">
        <v>235</v>
      </c>
      <c r="H13">
        <v>2</v>
      </c>
      <c r="I13">
        <v>865.77</v>
      </c>
      <c r="J13" s="1" t="s">
        <v>243</v>
      </c>
      <c r="K13" s="1" t="s">
        <v>248</v>
      </c>
      <c r="L13">
        <v>1731.54</v>
      </c>
    </row>
    <row r="14" spans="1:12" x14ac:dyDescent="0.3">
      <c r="A14">
        <v>112</v>
      </c>
      <c r="B14" s="1" t="s">
        <v>23</v>
      </c>
      <c r="C14" s="1" t="s">
        <v>123</v>
      </c>
      <c r="D14" s="2">
        <v>45718</v>
      </c>
      <c r="E14" s="1" t="str">
        <f>TEXT(Table1_2[[#This Row],[Order_Date]],"mmm")</f>
        <v>Mar</v>
      </c>
      <c r="F14" s="1" t="s">
        <v>218</v>
      </c>
      <c r="G14" s="1" t="s">
        <v>237</v>
      </c>
      <c r="H14">
        <v>4</v>
      </c>
      <c r="I14">
        <v>752.13</v>
      </c>
      <c r="J14" s="1" t="s">
        <v>242</v>
      </c>
      <c r="K14" s="1" t="s">
        <v>246</v>
      </c>
      <c r="L14">
        <v>3008.52</v>
      </c>
    </row>
    <row r="15" spans="1:12" x14ac:dyDescent="0.3">
      <c r="A15">
        <v>113</v>
      </c>
      <c r="B15" s="1" t="s">
        <v>24</v>
      </c>
      <c r="C15" s="1" t="s">
        <v>124</v>
      </c>
      <c r="D15" s="2">
        <v>45862</v>
      </c>
      <c r="E15" s="1" t="str">
        <f>TEXT(Table1_2[[#This Row],[Order_Date]],"mmm")</f>
        <v>Jul</v>
      </c>
      <c r="F15" s="1" t="s">
        <v>219</v>
      </c>
      <c r="G15" s="1" t="s">
        <v>235</v>
      </c>
      <c r="H15">
        <v>1</v>
      </c>
      <c r="I15">
        <v>411.81</v>
      </c>
      <c r="J15" s="1" t="s">
        <v>243</v>
      </c>
      <c r="K15" s="1" t="s">
        <v>245</v>
      </c>
      <c r="L15">
        <v>411.81</v>
      </c>
    </row>
    <row r="16" spans="1:12" x14ac:dyDescent="0.3">
      <c r="A16">
        <v>114</v>
      </c>
      <c r="B16" s="1" t="s">
        <v>25</v>
      </c>
      <c r="C16" s="1" t="s">
        <v>125</v>
      </c>
      <c r="D16" s="2">
        <v>44931</v>
      </c>
      <c r="E16" s="1" t="str">
        <f>TEXT(Table1_2[[#This Row],[Order_Date]],"mmm")</f>
        <v>Jan</v>
      </c>
      <c r="F16" s="1" t="s">
        <v>212</v>
      </c>
      <c r="G16" s="1" t="s">
        <v>233</v>
      </c>
      <c r="H16">
        <v>2</v>
      </c>
      <c r="I16">
        <v>413.13</v>
      </c>
      <c r="J16" s="1" t="s">
        <v>240</v>
      </c>
      <c r="K16" s="1" t="s">
        <v>244</v>
      </c>
      <c r="L16">
        <v>826.26</v>
      </c>
    </row>
    <row r="17" spans="1:12" x14ac:dyDescent="0.3">
      <c r="A17">
        <v>115</v>
      </c>
      <c r="B17" s="1" t="s">
        <v>26</v>
      </c>
      <c r="C17" s="1" t="s">
        <v>126</v>
      </c>
      <c r="D17" s="2">
        <v>45667</v>
      </c>
      <c r="E17" s="1" t="str">
        <f>TEXT(Table1_2[[#This Row],[Order_Date]],"mmm")</f>
        <v>Jan</v>
      </c>
      <c r="F17" s="1" t="s">
        <v>219</v>
      </c>
      <c r="G17" s="1" t="s">
        <v>235</v>
      </c>
      <c r="H17">
        <v>2</v>
      </c>
      <c r="I17">
        <v>796.84</v>
      </c>
      <c r="J17" s="1" t="s">
        <v>240</v>
      </c>
      <c r="K17" s="1" t="s">
        <v>248</v>
      </c>
      <c r="L17">
        <v>1115.576</v>
      </c>
    </row>
    <row r="18" spans="1:12" x14ac:dyDescent="0.3">
      <c r="A18">
        <v>116</v>
      </c>
      <c r="B18" s="1" t="s">
        <v>27</v>
      </c>
      <c r="C18" s="1" t="s">
        <v>127</v>
      </c>
      <c r="D18" s="2">
        <v>45960</v>
      </c>
      <c r="E18" s="1" t="str">
        <f>TEXT(Table1_2[[#This Row],[Order_Date]],"mmm")</f>
        <v>Oct</v>
      </c>
      <c r="F18" s="1" t="s">
        <v>220</v>
      </c>
      <c r="G18" s="1" t="s">
        <v>232</v>
      </c>
      <c r="H18">
        <v>4</v>
      </c>
      <c r="I18">
        <v>0</v>
      </c>
      <c r="J18" s="1" t="s">
        <v>240</v>
      </c>
      <c r="K18" s="1" t="s">
        <v>245</v>
      </c>
      <c r="L18">
        <v>0</v>
      </c>
    </row>
    <row r="19" spans="1:12" x14ac:dyDescent="0.3">
      <c r="A19">
        <v>117</v>
      </c>
      <c r="B19" s="1" t="s">
        <v>28</v>
      </c>
      <c r="C19" s="1" t="s">
        <v>128</v>
      </c>
      <c r="D19" s="2">
        <v>45700</v>
      </c>
      <c r="E19" s="1" t="str">
        <f>TEXT(Table1_2[[#This Row],[Order_Date]],"mmm")</f>
        <v>Feb</v>
      </c>
      <c r="F19" s="1" t="s">
        <v>211</v>
      </c>
      <c r="G19" s="1" t="s">
        <v>238</v>
      </c>
      <c r="H19">
        <v>-2</v>
      </c>
      <c r="I19">
        <v>10000</v>
      </c>
      <c r="J19" s="1" t="s">
        <v>240</v>
      </c>
      <c r="K19" s="1" t="s">
        <v>245</v>
      </c>
      <c r="L19">
        <v>-200000</v>
      </c>
    </row>
    <row r="20" spans="1:12" x14ac:dyDescent="0.3">
      <c r="A20">
        <v>118</v>
      </c>
      <c r="B20" s="1" t="s">
        <v>29</v>
      </c>
      <c r="C20" s="1" t="s">
        <v>129</v>
      </c>
      <c r="D20" s="2">
        <v>45808</v>
      </c>
      <c r="E20" s="1" t="str">
        <f>TEXT(Table1_2[[#This Row],[Order_Date]],"mmm")</f>
        <v>May</v>
      </c>
      <c r="F20" s="1" t="s">
        <v>214</v>
      </c>
      <c r="G20" s="1" t="s">
        <v>235</v>
      </c>
      <c r="H20">
        <v>5</v>
      </c>
      <c r="I20">
        <v>247.82</v>
      </c>
      <c r="J20" s="1" t="s">
        <v>241</v>
      </c>
      <c r="K20" s="1" t="s">
        <v>245</v>
      </c>
      <c r="L20">
        <v>1239.0999999999999</v>
      </c>
    </row>
    <row r="21" spans="1:12" x14ac:dyDescent="0.3">
      <c r="A21">
        <v>119</v>
      </c>
      <c r="B21" s="1" t="s">
        <v>30</v>
      </c>
      <c r="C21" s="1" t="s">
        <v>130</v>
      </c>
      <c r="D21" s="2">
        <v>45645</v>
      </c>
      <c r="E21" s="1" t="str">
        <f>TEXT(Table1_2[[#This Row],[Order_Date]],"mmm")</f>
        <v>Dec</v>
      </c>
      <c r="F21" s="1" t="s">
        <v>216</v>
      </c>
      <c r="G21" s="1" t="s">
        <v>234</v>
      </c>
      <c r="H21">
        <v>4</v>
      </c>
      <c r="I21">
        <v>438.19</v>
      </c>
      <c r="J21" s="1" t="s">
        <v>240</v>
      </c>
      <c r="K21" s="1" t="s">
        <v>245</v>
      </c>
      <c r="L21">
        <v>1752.76</v>
      </c>
    </row>
    <row r="22" spans="1:12" x14ac:dyDescent="0.3">
      <c r="A22">
        <v>120</v>
      </c>
      <c r="B22" s="1" t="s">
        <v>31</v>
      </c>
      <c r="C22" s="1" t="s">
        <v>131</v>
      </c>
      <c r="D22" s="2">
        <v>45821</v>
      </c>
      <c r="E22" s="1" t="str">
        <f>TEXT(Table1_2[[#This Row],[Order_Date]],"mmm")</f>
        <v>Jun</v>
      </c>
      <c r="F22" s="1" t="s">
        <v>221</v>
      </c>
      <c r="G22" s="1" t="s">
        <v>239</v>
      </c>
      <c r="H22">
        <v>5</v>
      </c>
      <c r="I22">
        <v>0</v>
      </c>
      <c r="J22" s="1" t="s">
        <v>243</v>
      </c>
      <c r="K22" s="1" t="s">
        <v>247</v>
      </c>
      <c r="L22">
        <v>0</v>
      </c>
    </row>
    <row r="23" spans="1:12" x14ac:dyDescent="0.3">
      <c r="A23">
        <v>121</v>
      </c>
      <c r="B23" s="1" t="s">
        <v>32</v>
      </c>
      <c r="C23" s="1" t="s">
        <v>132</v>
      </c>
      <c r="D23" s="2">
        <v>45941</v>
      </c>
      <c r="E23" s="1" t="str">
        <f>TEXT(Table1_2[[#This Row],[Order_Date]],"mmm")</f>
        <v>Oct</v>
      </c>
      <c r="F23" s="1" t="s">
        <v>216</v>
      </c>
      <c r="G23" s="1" t="s">
        <v>234</v>
      </c>
      <c r="H23">
        <v>4</v>
      </c>
      <c r="I23">
        <v>523.01</v>
      </c>
      <c r="J23" s="1" t="s">
        <v>243</v>
      </c>
      <c r="K23" s="1" t="s">
        <v>246</v>
      </c>
      <c r="L23">
        <v>2092.04</v>
      </c>
    </row>
    <row r="24" spans="1:12" x14ac:dyDescent="0.3">
      <c r="A24">
        <v>122</v>
      </c>
      <c r="B24" s="1" t="s">
        <v>33</v>
      </c>
      <c r="C24" s="1" t="s">
        <v>133</v>
      </c>
      <c r="D24" s="2">
        <v>45793</v>
      </c>
      <c r="E24" s="1" t="str">
        <f>TEXT(Table1_2[[#This Row],[Order_Date]],"mmm")</f>
        <v>May</v>
      </c>
      <c r="F24" s="1" t="s">
        <v>220</v>
      </c>
      <c r="G24" s="1" t="s">
        <v>232</v>
      </c>
      <c r="H24">
        <v>2</v>
      </c>
      <c r="I24">
        <v>556.92999999999995</v>
      </c>
      <c r="J24" s="1" t="s">
        <v>241</v>
      </c>
      <c r="K24" s="1" t="s">
        <v>244</v>
      </c>
      <c r="L24">
        <v>1113.8599999999999</v>
      </c>
    </row>
    <row r="25" spans="1:12" x14ac:dyDescent="0.3">
      <c r="A25">
        <v>123</v>
      </c>
      <c r="B25" s="1" t="s">
        <v>34</v>
      </c>
      <c r="C25" s="1" t="s">
        <v>134</v>
      </c>
      <c r="D25" s="2">
        <v>45936</v>
      </c>
      <c r="E25" s="1" t="str">
        <f>TEXT(Table1_2[[#This Row],[Order_Date]],"mmm")</f>
        <v>Oct</v>
      </c>
      <c r="F25" s="1" t="s">
        <v>222</v>
      </c>
      <c r="G25" s="1" t="s">
        <v>238</v>
      </c>
      <c r="H25">
        <v>3</v>
      </c>
      <c r="I25">
        <v>615.91</v>
      </c>
      <c r="J25" s="1" t="s">
        <v>240</v>
      </c>
      <c r="K25" s="1" t="s">
        <v>247</v>
      </c>
      <c r="L25">
        <v>1847.73</v>
      </c>
    </row>
    <row r="26" spans="1:12" x14ac:dyDescent="0.3">
      <c r="A26">
        <v>124</v>
      </c>
      <c r="B26" s="1" t="s">
        <v>35</v>
      </c>
      <c r="C26" s="1" t="s">
        <v>135</v>
      </c>
      <c r="D26" s="2">
        <v>45808</v>
      </c>
      <c r="E26" s="1" t="str">
        <f>TEXT(Table1_2[[#This Row],[Order_Date]],"mmm")</f>
        <v>May</v>
      </c>
      <c r="F26" s="1" t="s">
        <v>217</v>
      </c>
      <c r="G26" s="1" t="s">
        <v>235</v>
      </c>
      <c r="H26">
        <v>5</v>
      </c>
      <c r="I26">
        <v>0</v>
      </c>
      <c r="J26" s="1" t="s">
        <v>241</v>
      </c>
      <c r="K26" s="1" t="s">
        <v>247</v>
      </c>
      <c r="L26">
        <v>0</v>
      </c>
    </row>
    <row r="27" spans="1:12" x14ac:dyDescent="0.3">
      <c r="A27">
        <v>125</v>
      </c>
      <c r="B27" s="1" t="s">
        <v>36</v>
      </c>
      <c r="C27" s="1" t="s">
        <v>136</v>
      </c>
      <c r="D27" s="2">
        <v>45697</v>
      </c>
      <c r="E27" s="1" t="str">
        <f>TEXT(Table1_2[[#This Row],[Order_Date]],"mmm")</f>
        <v>Feb</v>
      </c>
      <c r="F27" s="1" t="s">
        <v>217</v>
      </c>
      <c r="G27" s="1" t="s">
        <v>235</v>
      </c>
      <c r="H27">
        <v>4</v>
      </c>
      <c r="I27">
        <v>765.69</v>
      </c>
      <c r="J27" s="1" t="s">
        <v>241</v>
      </c>
      <c r="K27" s="1" t="s">
        <v>244</v>
      </c>
      <c r="L27">
        <v>3062.76</v>
      </c>
    </row>
    <row r="28" spans="1:12" x14ac:dyDescent="0.3">
      <c r="A28">
        <v>126</v>
      </c>
      <c r="B28" s="1" t="s">
        <v>37</v>
      </c>
      <c r="C28" s="1" t="s">
        <v>137</v>
      </c>
      <c r="D28" s="2">
        <v>45795</v>
      </c>
      <c r="E28" s="1" t="str">
        <f>TEXT(Table1_2[[#This Row],[Order_Date]],"mmm")</f>
        <v>May</v>
      </c>
      <c r="F28" s="1" t="s">
        <v>218</v>
      </c>
      <c r="G28" s="1" t="s">
        <v>237</v>
      </c>
      <c r="H28">
        <v>4</v>
      </c>
      <c r="I28">
        <v>836.8</v>
      </c>
      <c r="J28" s="1" t="s">
        <v>242</v>
      </c>
      <c r="K28" s="1" t="s">
        <v>247</v>
      </c>
      <c r="L28">
        <v>3347.2</v>
      </c>
    </row>
    <row r="29" spans="1:12" x14ac:dyDescent="0.3">
      <c r="A29">
        <v>127</v>
      </c>
      <c r="B29" s="1" t="s">
        <v>38</v>
      </c>
      <c r="C29" s="1" t="s">
        <v>138</v>
      </c>
      <c r="D29" s="2">
        <v>45789</v>
      </c>
      <c r="E29" s="1" t="str">
        <f>TEXT(Table1_2[[#This Row],[Order_Date]],"mmm")</f>
        <v>May</v>
      </c>
      <c r="F29" s="1" t="s">
        <v>211</v>
      </c>
      <c r="G29" s="1" t="s">
        <v>232</v>
      </c>
      <c r="H29">
        <v>5</v>
      </c>
      <c r="I29">
        <v>336.02</v>
      </c>
      <c r="J29" s="1" t="s">
        <v>242</v>
      </c>
      <c r="K29" s="1" t="s">
        <v>248</v>
      </c>
      <c r="L29">
        <v>1680.1</v>
      </c>
    </row>
    <row r="30" spans="1:12" x14ac:dyDescent="0.3">
      <c r="A30">
        <v>128</v>
      </c>
      <c r="B30" s="1" t="s">
        <v>39</v>
      </c>
      <c r="C30" s="1" t="s">
        <v>139</v>
      </c>
      <c r="D30" s="2">
        <v>45606</v>
      </c>
      <c r="E30" s="1" t="str">
        <f>TEXT(Table1_2[[#This Row],[Order_Date]],"mmm")</f>
        <v>Nov</v>
      </c>
      <c r="F30" s="1" t="s">
        <v>223</v>
      </c>
      <c r="G30" s="1" t="s">
        <v>236</v>
      </c>
      <c r="H30">
        <v>3</v>
      </c>
      <c r="I30">
        <v>898.69</v>
      </c>
      <c r="J30" s="1" t="s">
        <v>242</v>
      </c>
      <c r="K30" s="1" t="s">
        <v>246</v>
      </c>
      <c r="L30">
        <v>2696.07</v>
      </c>
    </row>
    <row r="31" spans="1:12" x14ac:dyDescent="0.3">
      <c r="A31">
        <v>129</v>
      </c>
      <c r="B31" s="1" t="s">
        <v>40</v>
      </c>
      <c r="C31" s="1" t="s">
        <v>140</v>
      </c>
      <c r="D31" s="2">
        <v>45830</v>
      </c>
      <c r="E31" s="1" t="str">
        <f>TEXT(Table1_2[[#This Row],[Order_Date]],"mmm")</f>
        <v>Jun</v>
      </c>
      <c r="F31" s="1" t="s">
        <v>214</v>
      </c>
      <c r="G31" s="1" t="s">
        <v>235</v>
      </c>
      <c r="H31">
        <v>4</v>
      </c>
      <c r="I31">
        <v>736.71</v>
      </c>
      <c r="J31" s="1" t="s">
        <v>242</v>
      </c>
      <c r="K31" s="1" t="s">
        <v>248</v>
      </c>
      <c r="L31">
        <v>2946.84</v>
      </c>
    </row>
    <row r="32" spans="1:12" x14ac:dyDescent="0.3">
      <c r="A32">
        <v>130</v>
      </c>
      <c r="B32" s="1" t="s">
        <v>41</v>
      </c>
      <c r="C32" s="1" t="s">
        <v>141</v>
      </c>
      <c r="D32" s="2">
        <v>45884</v>
      </c>
      <c r="E32" s="1" t="str">
        <f>TEXT(Table1_2[[#This Row],[Order_Date]],"mmm")</f>
        <v>Aug</v>
      </c>
      <c r="F32" s="1" t="s">
        <v>213</v>
      </c>
      <c r="G32" s="1" t="s">
        <v>234</v>
      </c>
      <c r="H32">
        <v>2</v>
      </c>
      <c r="I32">
        <v>0</v>
      </c>
      <c r="J32" s="1" t="s">
        <v>242</v>
      </c>
      <c r="K32" s="1" t="s">
        <v>245</v>
      </c>
      <c r="L32">
        <v>0</v>
      </c>
    </row>
    <row r="33" spans="1:12" x14ac:dyDescent="0.3">
      <c r="A33">
        <v>131</v>
      </c>
      <c r="B33" s="1" t="s">
        <v>42</v>
      </c>
      <c r="C33" s="1" t="s">
        <v>142</v>
      </c>
      <c r="D33" s="2">
        <v>45819</v>
      </c>
      <c r="E33" s="1" t="str">
        <f>TEXT(Table1_2[[#This Row],[Order_Date]],"mmm")</f>
        <v>Jun</v>
      </c>
      <c r="F33" s="1" t="s">
        <v>223</v>
      </c>
      <c r="G33" s="1" t="s">
        <v>232</v>
      </c>
      <c r="H33">
        <v>5</v>
      </c>
      <c r="I33">
        <v>616.63</v>
      </c>
      <c r="J33" s="1" t="s">
        <v>241</v>
      </c>
      <c r="K33" s="1" t="s">
        <v>244</v>
      </c>
      <c r="L33">
        <v>3083.15</v>
      </c>
    </row>
    <row r="34" spans="1:12" x14ac:dyDescent="0.3">
      <c r="A34">
        <v>132</v>
      </c>
      <c r="B34" s="1" t="s">
        <v>43</v>
      </c>
      <c r="C34" s="1" t="s">
        <v>143</v>
      </c>
      <c r="D34" s="2">
        <v>45749</v>
      </c>
      <c r="E34" s="1" t="str">
        <f>TEXT(Table1_2[[#This Row],[Order_Date]],"mmm")</f>
        <v>Apr</v>
      </c>
      <c r="F34" s="1" t="s">
        <v>221</v>
      </c>
      <c r="G34" s="1" t="s">
        <v>239</v>
      </c>
      <c r="H34">
        <v>1</v>
      </c>
      <c r="I34">
        <v>266.7</v>
      </c>
      <c r="J34" s="1" t="s">
        <v>241</v>
      </c>
      <c r="K34" s="1" t="s">
        <v>246</v>
      </c>
      <c r="L34">
        <v>266.7</v>
      </c>
    </row>
    <row r="35" spans="1:12" x14ac:dyDescent="0.3">
      <c r="A35">
        <v>133</v>
      </c>
      <c r="B35" s="1" t="s">
        <v>44</v>
      </c>
      <c r="C35" s="1" t="s">
        <v>144</v>
      </c>
      <c r="D35" s="2">
        <v>45631</v>
      </c>
      <c r="E35" s="1" t="str">
        <f>TEXT(Table1_2[[#This Row],[Order_Date]],"mmm")</f>
        <v>Dec</v>
      </c>
      <c r="F35" s="1" t="s">
        <v>215</v>
      </c>
      <c r="G35" s="1" t="s">
        <v>249</v>
      </c>
      <c r="H35">
        <v>5</v>
      </c>
      <c r="I35">
        <v>343.24</v>
      </c>
      <c r="J35" s="1" t="s">
        <v>243</v>
      </c>
      <c r="K35" s="1" t="s">
        <v>244</v>
      </c>
      <c r="L35">
        <v>1716.2</v>
      </c>
    </row>
    <row r="36" spans="1:12" x14ac:dyDescent="0.3">
      <c r="A36">
        <v>134</v>
      </c>
      <c r="B36" s="1" t="s">
        <v>45</v>
      </c>
      <c r="C36" s="1" t="s">
        <v>145</v>
      </c>
      <c r="D36" s="2">
        <v>45934</v>
      </c>
      <c r="E36" s="1" t="str">
        <f>TEXT(Table1_2[[#This Row],[Order_Date]],"mmm")</f>
        <v>Oct</v>
      </c>
      <c r="F36" s="1" t="s">
        <v>224</v>
      </c>
      <c r="G36" s="1" t="s">
        <v>237</v>
      </c>
      <c r="H36">
        <v>-5</v>
      </c>
      <c r="I36">
        <v>591.53</v>
      </c>
      <c r="J36" s="1" t="s">
        <v>241</v>
      </c>
      <c r="K36" s="1" t="s">
        <v>244</v>
      </c>
      <c r="L36">
        <v>-2957.65</v>
      </c>
    </row>
    <row r="37" spans="1:12" x14ac:dyDescent="0.3">
      <c r="A37">
        <v>135</v>
      </c>
      <c r="B37" s="1" t="s">
        <v>46</v>
      </c>
      <c r="C37" s="1" t="s">
        <v>146</v>
      </c>
      <c r="D37" s="2">
        <v>45697</v>
      </c>
      <c r="E37" s="1" t="str">
        <f>TEXT(Table1_2[[#This Row],[Order_Date]],"mmm")</f>
        <v>Feb</v>
      </c>
      <c r="F37" s="1" t="s">
        <v>225</v>
      </c>
      <c r="G37" s="1" t="s">
        <v>236</v>
      </c>
      <c r="H37">
        <v>4</v>
      </c>
      <c r="I37">
        <v>446.19</v>
      </c>
      <c r="J37" s="1" t="s">
        <v>240</v>
      </c>
      <c r="K37" s="1" t="s">
        <v>247</v>
      </c>
      <c r="L37">
        <v>1784.76</v>
      </c>
    </row>
    <row r="38" spans="1:12" x14ac:dyDescent="0.3">
      <c r="A38">
        <v>136</v>
      </c>
      <c r="B38" s="1" t="s">
        <v>47</v>
      </c>
      <c r="C38" s="1" t="s">
        <v>147</v>
      </c>
      <c r="D38" s="2">
        <v>45820</v>
      </c>
      <c r="E38" s="1" t="str">
        <f>TEXT(Table1_2[[#This Row],[Order_Date]],"mmm")</f>
        <v>Jun</v>
      </c>
      <c r="F38" s="1" t="s">
        <v>226</v>
      </c>
      <c r="G38" s="1"/>
      <c r="H38">
        <v>1</v>
      </c>
      <c r="I38">
        <v>696.71</v>
      </c>
      <c r="J38" s="1" t="s">
        <v>243</v>
      </c>
      <c r="K38" s="1" t="s">
        <v>246</v>
      </c>
      <c r="L38">
        <v>696.71</v>
      </c>
    </row>
    <row r="39" spans="1:12" x14ac:dyDescent="0.3">
      <c r="A39">
        <v>137</v>
      </c>
      <c r="B39" s="1" t="s">
        <v>48</v>
      </c>
      <c r="C39" s="1" t="s">
        <v>148</v>
      </c>
      <c r="D39" s="2">
        <v>45711</v>
      </c>
      <c r="E39" s="1" t="str">
        <f>TEXT(Table1_2[[#This Row],[Order_Date]],"mmm")</f>
        <v>Feb</v>
      </c>
      <c r="F39" s="1" t="s">
        <v>222</v>
      </c>
      <c r="G39" s="1" t="s">
        <v>232</v>
      </c>
      <c r="H39">
        <v>3</v>
      </c>
      <c r="I39">
        <v>-100</v>
      </c>
      <c r="J39" s="1" t="s">
        <v>240</v>
      </c>
      <c r="K39" s="1" t="s">
        <v>246</v>
      </c>
      <c r="L39">
        <v>-300</v>
      </c>
    </row>
    <row r="40" spans="1:12" x14ac:dyDescent="0.3">
      <c r="A40">
        <v>138</v>
      </c>
      <c r="B40" s="1" t="s">
        <v>49</v>
      </c>
      <c r="C40" s="1" t="s">
        <v>149</v>
      </c>
      <c r="D40" s="2">
        <v>45878</v>
      </c>
      <c r="E40" s="1" t="str">
        <f>TEXT(Table1_2[[#This Row],[Order_Date]],"mmm")</f>
        <v>Aug</v>
      </c>
      <c r="F40" s="1" t="s">
        <v>223</v>
      </c>
      <c r="G40" s="1" t="s">
        <v>232</v>
      </c>
      <c r="H40">
        <v>1</v>
      </c>
      <c r="I40">
        <v>531.05999999999995</v>
      </c>
      <c r="J40" s="1" t="s">
        <v>241</v>
      </c>
      <c r="K40" s="1" t="s">
        <v>245</v>
      </c>
      <c r="L40">
        <v>531.05999999999995</v>
      </c>
    </row>
    <row r="41" spans="1:12" x14ac:dyDescent="0.3">
      <c r="A41">
        <v>139</v>
      </c>
      <c r="B41" s="1" t="s">
        <v>50</v>
      </c>
      <c r="C41" s="1" t="s">
        <v>150</v>
      </c>
      <c r="D41" s="2">
        <v>45697</v>
      </c>
      <c r="E41" s="1" t="str">
        <f>TEXT(Table1_2[[#This Row],[Order_Date]],"mmm")</f>
        <v>Feb</v>
      </c>
      <c r="F41" s="1" t="s">
        <v>212</v>
      </c>
      <c r="G41" s="1" t="s">
        <v>233</v>
      </c>
      <c r="H41">
        <v>2</v>
      </c>
      <c r="I41">
        <v>681.38</v>
      </c>
      <c r="J41" s="1" t="s">
        <v>243</v>
      </c>
      <c r="K41" s="1" t="s">
        <v>247</v>
      </c>
      <c r="L41">
        <v>1362.76</v>
      </c>
    </row>
    <row r="42" spans="1:12" x14ac:dyDescent="0.3">
      <c r="A42">
        <v>140</v>
      </c>
      <c r="B42" s="1" t="s">
        <v>51</v>
      </c>
      <c r="C42" s="1" t="s">
        <v>151</v>
      </c>
      <c r="D42" s="2">
        <v>45714</v>
      </c>
      <c r="E42" s="1" t="str">
        <f>TEXT(Table1_2[[#This Row],[Order_Date]],"mmm")</f>
        <v>Feb</v>
      </c>
      <c r="F42" s="1" t="s">
        <v>219</v>
      </c>
      <c r="G42" s="1" t="s">
        <v>235</v>
      </c>
      <c r="H42">
        <v>4</v>
      </c>
      <c r="I42">
        <v>588.98</v>
      </c>
      <c r="J42" s="1" t="s">
        <v>243</v>
      </c>
      <c r="K42" s="1" t="s">
        <v>248</v>
      </c>
      <c r="L42">
        <v>2355.92</v>
      </c>
    </row>
    <row r="43" spans="1:12" x14ac:dyDescent="0.3">
      <c r="A43">
        <v>141</v>
      </c>
      <c r="B43" s="1" t="s">
        <v>52</v>
      </c>
      <c r="C43" s="1" t="s">
        <v>152</v>
      </c>
      <c r="D43" s="2">
        <v>45701</v>
      </c>
      <c r="E43" s="1" t="str">
        <f>TEXT(Table1_2[[#This Row],[Order_Date]],"mmm")</f>
        <v>Feb</v>
      </c>
      <c r="F43" s="1" t="s">
        <v>219</v>
      </c>
      <c r="G43" s="1" t="s">
        <v>235</v>
      </c>
      <c r="H43">
        <v>3</v>
      </c>
      <c r="I43">
        <v>546.04</v>
      </c>
      <c r="J43" s="1" t="s">
        <v>240</v>
      </c>
      <c r="K43" s="1" t="s">
        <v>248</v>
      </c>
      <c r="L43">
        <v>1638.12</v>
      </c>
    </row>
    <row r="44" spans="1:12" x14ac:dyDescent="0.3">
      <c r="A44">
        <v>142</v>
      </c>
      <c r="B44" s="1" t="s">
        <v>53</v>
      </c>
      <c r="C44" s="1" t="s">
        <v>153</v>
      </c>
      <c r="D44" s="2">
        <v>45960</v>
      </c>
      <c r="E44" s="1" t="str">
        <f>TEXT(Table1_2[[#This Row],[Order_Date]],"mmm")</f>
        <v>Oct</v>
      </c>
      <c r="F44" s="1" t="s">
        <v>218</v>
      </c>
      <c r="G44" s="1" t="s">
        <v>237</v>
      </c>
      <c r="H44">
        <v>5</v>
      </c>
      <c r="I44">
        <v>645.26</v>
      </c>
      <c r="J44" s="1" t="s">
        <v>243</v>
      </c>
      <c r="K44" s="1" t="s">
        <v>244</v>
      </c>
      <c r="L44">
        <v>2258.41</v>
      </c>
    </row>
    <row r="45" spans="1:12" x14ac:dyDescent="0.3">
      <c r="A45">
        <v>143</v>
      </c>
      <c r="B45" s="1" t="s">
        <v>54</v>
      </c>
      <c r="C45" s="1" t="s">
        <v>154</v>
      </c>
      <c r="D45" s="2">
        <v>45849</v>
      </c>
      <c r="E45" s="1" t="str">
        <f>TEXT(Table1_2[[#This Row],[Order_Date]],"mmm")</f>
        <v>Jul</v>
      </c>
      <c r="F45" s="1" t="s">
        <v>224</v>
      </c>
      <c r="G45" s="1" t="s">
        <v>237</v>
      </c>
      <c r="H45">
        <v>5</v>
      </c>
      <c r="I45">
        <v>826.77</v>
      </c>
      <c r="J45" s="1" t="s">
        <v>242</v>
      </c>
      <c r="K45" s="1" t="s">
        <v>247</v>
      </c>
      <c r="L45">
        <v>4133.8500000000004</v>
      </c>
    </row>
    <row r="46" spans="1:12" x14ac:dyDescent="0.3">
      <c r="A46">
        <v>144</v>
      </c>
      <c r="B46" s="1" t="s">
        <v>55</v>
      </c>
      <c r="C46" s="1" t="s">
        <v>155</v>
      </c>
      <c r="D46" s="2">
        <v>45684</v>
      </c>
      <c r="E46" s="1" t="str">
        <f>TEXT(Table1_2[[#This Row],[Order_Date]],"mmm")</f>
        <v>Jan</v>
      </c>
      <c r="F46" s="1" t="s">
        <v>227</v>
      </c>
      <c r="G46" s="1" t="s">
        <v>234</v>
      </c>
      <c r="H46">
        <v>5</v>
      </c>
      <c r="I46">
        <v>849.07</v>
      </c>
      <c r="J46" s="1" t="s">
        <v>242</v>
      </c>
      <c r="K46" s="1" t="s">
        <v>245</v>
      </c>
      <c r="L46">
        <v>4245.3500000000004</v>
      </c>
    </row>
    <row r="47" spans="1:12" x14ac:dyDescent="0.3">
      <c r="A47">
        <v>145</v>
      </c>
      <c r="B47" s="1" t="s">
        <v>56</v>
      </c>
      <c r="C47" s="1" t="s">
        <v>156</v>
      </c>
      <c r="D47" s="2">
        <v>44931</v>
      </c>
      <c r="E47" s="1" t="str">
        <f>TEXT(Table1_2[[#This Row],[Order_Date]],"mmm")</f>
        <v>Jan</v>
      </c>
      <c r="F47" s="1" t="s">
        <v>228</v>
      </c>
      <c r="G47" s="1" t="s">
        <v>233</v>
      </c>
      <c r="H47">
        <v>2</v>
      </c>
      <c r="I47">
        <v>860.99</v>
      </c>
      <c r="J47" s="1" t="s">
        <v>242</v>
      </c>
      <c r="K47" s="1" t="s">
        <v>248</v>
      </c>
      <c r="L47">
        <v>1721.98</v>
      </c>
    </row>
    <row r="48" spans="1:12" x14ac:dyDescent="0.3">
      <c r="A48">
        <v>146</v>
      </c>
      <c r="B48" s="1" t="s">
        <v>57</v>
      </c>
      <c r="C48" s="1" t="s">
        <v>157</v>
      </c>
      <c r="D48" s="2">
        <v>45847</v>
      </c>
      <c r="E48" s="1" t="str">
        <f>TEXT(Table1_2[[#This Row],[Order_Date]],"mmm")</f>
        <v>Jul</v>
      </c>
      <c r="F48" s="1" t="s">
        <v>216</v>
      </c>
      <c r="G48" s="1" t="s">
        <v>238</v>
      </c>
      <c r="H48">
        <v>2</v>
      </c>
      <c r="I48">
        <v>705.42</v>
      </c>
      <c r="J48" s="1" t="s">
        <v>242</v>
      </c>
      <c r="K48" s="1" t="s">
        <v>245</v>
      </c>
      <c r="L48">
        <v>1410.84</v>
      </c>
    </row>
    <row r="49" spans="1:12" x14ac:dyDescent="0.3">
      <c r="A49">
        <v>147</v>
      </c>
      <c r="B49" s="1" t="s">
        <v>58</v>
      </c>
      <c r="C49" s="1" t="s">
        <v>158</v>
      </c>
      <c r="D49" s="2">
        <v>45778</v>
      </c>
      <c r="E49" s="1" t="str">
        <f>TEXT(Table1_2[[#This Row],[Order_Date]],"mmm")</f>
        <v>May</v>
      </c>
      <c r="F49" s="1" t="s">
        <v>229</v>
      </c>
      <c r="G49" s="1" t="s">
        <v>237</v>
      </c>
      <c r="H49">
        <v>4</v>
      </c>
      <c r="I49">
        <v>596.15</v>
      </c>
      <c r="J49" s="1" t="s">
        <v>240</v>
      </c>
      <c r="K49" s="1" t="s">
        <v>244</v>
      </c>
      <c r="L49">
        <v>2384.6</v>
      </c>
    </row>
    <row r="50" spans="1:12" x14ac:dyDescent="0.3">
      <c r="A50">
        <v>148</v>
      </c>
      <c r="B50" s="1" t="s">
        <v>59</v>
      </c>
      <c r="C50" s="1" t="s">
        <v>159</v>
      </c>
      <c r="D50" s="2">
        <v>45729</v>
      </c>
      <c r="E50" s="1" t="str">
        <f>TEXT(Table1_2[[#This Row],[Order_Date]],"mmm")</f>
        <v>Mar</v>
      </c>
      <c r="F50" s="1" t="s">
        <v>213</v>
      </c>
      <c r="G50" s="1" t="s">
        <v>234</v>
      </c>
      <c r="H50">
        <v>1</v>
      </c>
      <c r="I50">
        <v>660.98</v>
      </c>
      <c r="J50" s="1" t="s">
        <v>240</v>
      </c>
      <c r="K50" s="1" t="s">
        <v>248</v>
      </c>
      <c r="L50">
        <v>660.98</v>
      </c>
    </row>
    <row r="51" spans="1:12" x14ac:dyDescent="0.3">
      <c r="A51">
        <v>149</v>
      </c>
      <c r="B51" s="1" t="s">
        <v>60</v>
      </c>
      <c r="C51" s="1" t="s">
        <v>160</v>
      </c>
      <c r="D51" s="2">
        <v>45837</v>
      </c>
      <c r="E51" s="1" t="str">
        <f>TEXT(Table1_2[[#This Row],[Order_Date]],"mmm")</f>
        <v>Jun</v>
      </c>
      <c r="F51" s="1" t="s">
        <v>217</v>
      </c>
      <c r="G51" s="1" t="s">
        <v>235</v>
      </c>
      <c r="H51">
        <v>5</v>
      </c>
      <c r="I51">
        <v>896.38</v>
      </c>
      <c r="J51" s="1" t="s">
        <v>242</v>
      </c>
      <c r="K51" s="1" t="s">
        <v>247</v>
      </c>
      <c r="L51">
        <v>4481.8999999999996</v>
      </c>
    </row>
    <row r="52" spans="1:12" x14ac:dyDescent="0.3">
      <c r="A52">
        <v>150</v>
      </c>
      <c r="B52" s="1" t="s">
        <v>61</v>
      </c>
      <c r="C52" s="1" t="s">
        <v>161</v>
      </c>
      <c r="D52" s="2">
        <v>45623</v>
      </c>
      <c r="E52" s="1" t="str">
        <f>TEXT(Table1_2[[#This Row],[Order_Date]],"mmm")</f>
        <v>Nov</v>
      </c>
      <c r="F52" s="1" t="s">
        <v>221</v>
      </c>
      <c r="G52" s="1" t="s">
        <v>234</v>
      </c>
      <c r="H52">
        <v>1</v>
      </c>
      <c r="I52">
        <v>206.19</v>
      </c>
      <c r="J52" s="1" t="s">
        <v>243</v>
      </c>
      <c r="K52" s="1" t="s">
        <v>248</v>
      </c>
      <c r="L52">
        <v>206.19</v>
      </c>
    </row>
    <row r="53" spans="1:12" x14ac:dyDescent="0.3">
      <c r="A53">
        <v>151</v>
      </c>
      <c r="B53" s="1" t="s">
        <v>62</v>
      </c>
      <c r="C53" s="1" t="s">
        <v>162</v>
      </c>
      <c r="D53" s="2">
        <v>45839</v>
      </c>
      <c r="E53" s="1" t="str">
        <f>TEXT(Table1_2[[#This Row],[Order_Date]],"mmm")</f>
        <v>Jul</v>
      </c>
      <c r="F53" s="1" t="s">
        <v>217</v>
      </c>
      <c r="G53" s="1" t="s">
        <v>235</v>
      </c>
      <c r="H53">
        <v>2</v>
      </c>
      <c r="I53">
        <v>457.16</v>
      </c>
      <c r="J53" s="1" t="s">
        <v>241</v>
      </c>
      <c r="K53" s="1" t="s">
        <v>245</v>
      </c>
      <c r="L53">
        <v>640.024</v>
      </c>
    </row>
    <row r="54" spans="1:12" x14ac:dyDescent="0.3">
      <c r="A54">
        <v>152</v>
      </c>
      <c r="B54" s="1" t="s">
        <v>63</v>
      </c>
      <c r="C54" s="1" t="s">
        <v>163</v>
      </c>
      <c r="D54" s="2">
        <v>45922</v>
      </c>
      <c r="E54" s="1" t="str">
        <f>TEXT(Table1_2[[#This Row],[Order_Date]],"mmm")</f>
        <v>Sep</v>
      </c>
      <c r="F54" s="1" t="s">
        <v>223</v>
      </c>
      <c r="G54" s="1" t="s">
        <v>232</v>
      </c>
      <c r="H54">
        <v>3</v>
      </c>
      <c r="I54">
        <v>233.11</v>
      </c>
      <c r="J54" s="1" t="s">
        <v>241</v>
      </c>
      <c r="K54" s="1" t="s">
        <v>248</v>
      </c>
      <c r="L54">
        <v>699.33</v>
      </c>
    </row>
    <row r="55" spans="1:12" x14ac:dyDescent="0.3">
      <c r="A55">
        <v>153</v>
      </c>
      <c r="B55" s="1" t="s">
        <v>64</v>
      </c>
      <c r="C55" s="1" t="s">
        <v>164</v>
      </c>
      <c r="D55" s="2">
        <v>45854</v>
      </c>
      <c r="E55" s="1" t="str">
        <f>TEXT(Table1_2[[#This Row],[Order_Date]],"mmm")</f>
        <v>Jul</v>
      </c>
      <c r="F55" s="1" t="s">
        <v>221</v>
      </c>
      <c r="G55" s="1" t="s">
        <v>234</v>
      </c>
      <c r="H55">
        <v>4</v>
      </c>
      <c r="I55">
        <v>278.89999999999998</v>
      </c>
      <c r="J55" s="1" t="s">
        <v>240</v>
      </c>
      <c r="K55" s="1" t="s">
        <v>245</v>
      </c>
      <c r="L55">
        <v>1115.5999999999999</v>
      </c>
    </row>
    <row r="56" spans="1:12" x14ac:dyDescent="0.3">
      <c r="A56">
        <v>154</v>
      </c>
      <c r="B56" s="1" t="s">
        <v>65</v>
      </c>
      <c r="C56" s="1" t="s">
        <v>165</v>
      </c>
      <c r="D56" s="2">
        <v>45709</v>
      </c>
      <c r="E56" s="1" t="str">
        <f>TEXT(Table1_2[[#This Row],[Order_Date]],"mmm")</f>
        <v>Feb</v>
      </c>
      <c r="F56" s="1" t="s">
        <v>211</v>
      </c>
      <c r="G56" s="1" t="s">
        <v>232</v>
      </c>
      <c r="H56">
        <v>5</v>
      </c>
      <c r="I56">
        <v>789.64</v>
      </c>
      <c r="J56" s="1" t="s">
        <v>240</v>
      </c>
      <c r="K56" s="1" t="s">
        <v>247</v>
      </c>
      <c r="L56">
        <v>3948.2</v>
      </c>
    </row>
    <row r="57" spans="1:12" x14ac:dyDescent="0.3">
      <c r="A57">
        <v>155</v>
      </c>
      <c r="B57" s="1" t="s">
        <v>66</v>
      </c>
      <c r="C57" s="1" t="s">
        <v>166</v>
      </c>
      <c r="D57" s="2">
        <v>45778</v>
      </c>
      <c r="E57" s="1" t="str">
        <f>TEXT(Table1_2[[#This Row],[Order_Date]],"mmm")</f>
        <v>May</v>
      </c>
      <c r="F57" s="1" t="s">
        <v>230</v>
      </c>
      <c r="G57" s="1" t="s">
        <v>237</v>
      </c>
      <c r="H57">
        <v>1</v>
      </c>
      <c r="I57">
        <v>40.950000000000003</v>
      </c>
      <c r="J57" s="1" t="s">
        <v>241</v>
      </c>
      <c r="K57" s="1" t="s">
        <v>248</v>
      </c>
      <c r="L57">
        <v>40.950000000000003</v>
      </c>
    </row>
    <row r="58" spans="1:12" x14ac:dyDescent="0.3">
      <c r="A58">
        <v>156</v>
      </c>
      <c r="B58" s="1" t="s">
        <v>67</v>
      </c>
      <c r="C58" s="1" t="s">
        <v>167</v>
      </c>
      <c r="D58" s="2">
        <v>45624</v>
      </c>
      <c r="E58" s="1" t="str">
        <f>TEXT(Table1_2[[#This Row],[Order_Date]],"mmm")</f>
        <v>Nov</v>
      </c>
      <c r="F58" s="1" t="s">
        <v>231</v>
      </c>
      <c r="G58" s="1" t="s">
        <v>237</v>
      </c>
      <c r="H58">
        <v>2</v>
      </c>
      <c r="I58">
        <v>0</v>
      </c>
      <c r="J58" s="1" t="s">
        <v>242</v>
      </c>
      <c r="K58" s="1" t="s">
        <v>244</v>
      </c>
      <c r="L58">
        <v>0</v>
      </c>
    </row>
    <row r="59" spans="1:12" x14ac:dyDescent="0.3">
      <c r="A59">
        <v>157</v>
      </c>
      <c r="B59" s="1" t="s">
        <v>68</v>
      </c>
      <c r="C59" s="1" t="s">
        <v>168</v>
      </c>
      <c r="D59" s="2">
        <v>45967</v>
      </c>
      <c r="E59" s="1" t="str">
        <f>TEXT(Table1_2[[#This Row],[Order_Date]],"mmm")</f>
        <v>Nov</v>
      </c>
      <c r="F59" s="1" t="s">
        <v>229</v>
      </c>
      <c r="G59" s="1" t="s">
        <v>237</v>
      </c>
      <c r="H59">
        <v>4</v>
      </c>
      <c r="I59">
        <v>275.10000000000002</v>
      </c>
      <c r="J59" s="1" t="s">
        <v>242</v>
      </c>
      <c r="K59" s="1" t="s">
        <v>245</v>
      </c>
      <c r="L59">
        <v>1100.4000000000001</v>
      </c>
    </row>
    <row r="60" spans="1:12" x14ac:dyDescent="0.3">
      <c r="A60">
        <v>158</v>
      </c>
      <c r="B60" s="1" t="s">
        <v>69</v>
      </c>
      <c r="C60" s="1" t="s">
        <v>169</v>
      </c>
      <c r="D60" s="2">
        <v>45752</v>
      </c>
      <c r="E60" s="1" t="str">
        <f>TEXT(Table1_2[[#This Row],[Order_Date]],"mmm")</f>
        <v>Apr</v>
      </c>
      <c r="F60" s="1" t="s">
        <v>225</v>
      </c>
      <c r="G60" s="1" t="s">
        <v>233</v>
      </c>
      <c r="H60">
        <v>1</v>
      </c>
      <c r="I60">
        <v>933.58</v>
      </c>
      <c r="J60" s="1" t="s">
        <v>240</v>
      </c>
      <c r="K60" s="1" t="s">
        <v>244</v>
      </c>
      <c r="L60">
        <v>933.58</v>
      </c>
    </row>
    <row r="61" spans="1:12" x14ac:dyDescent="0.3">
      <c r="A61">
        <v>159</v>
      </c>
      <c r="B61" s="1" t="s">
        <v>70</v>
      </c>
      <c r="C61" s="1" t="s">
        <v>170</v>
      </c>
      <c r="D61" s="2">
        <v>45866</v>
      </c>
      <c r="E61" s="1" t="str">
        <f>TEXT(Table1_2[[#This Row],[Order_Date]],"mmm")</f>
        <v>Jul</v>
      </c>
      <c r="F61" s="1" t="s">
        <v>220</v>
      </c>
      <c r="G61" s="1" t="s">
        <v>232</v>
      </c>
      <c r="H61">
        <v>3</v>
      </c>
      <c r="I61">
        <v>163.16</v>
      </c>
      <c r="J61" s="1" t="s">
        <v>241</v>
      </c>
      <c r="K61" s="1" t="s">
        <v>244</v>
      </c>
      <c r="L61">
        <v>489.48</v>
      </c>
    </row>
    <row r="62" spans="1:12" x14ac:dyDescent="0.3">
      <c r="A62">
        <v>160</v>
      </c>
      <c r="B62" s="1" t="s">
        <v>71</v>
      </c>
      <c r="C62" s="1" t="s">
        <v>171</v>
      </c>
      <c r="D62" s="2">
        <v>45660</v>
      </c>
      <c r="E62" s="1" t="str">
        <f>TEXT(Table1_2[[#This Row],[Order_Date]],"mmm")</f>
        <v>Jan</v>
      </c>
      <c r="F62" s="1" t="s">
        <v>214</v>
      </c>
      <c r="G62" s="1" t="s">
        <v>235</v>
      </c>
      <c r="H62">
        <v>5</v>
      </c>
      <c r="I62">
        <v>242.52</v>
      </c>
      <c r="J62" s="1" t="s">
        <v>240</v>
      </c>
      <c r="K62" s="1" t="s">
        <v>248</v>
      </c>
      <c r="L62">
        <v>1212.5999999999999</v>
      </c>
    </row>
    <row r="63" spans="1:12" x14ac:dyDescent="0.3">
      <c r="A63">
        <v>161</v>
      </c>
      <c r="B63" s="1" t="s">
        <v>72</v>
      </c>
      <c r="C63" s="1" t="s">
        <v>172</v>
      </c>
      <c r="D63" s="2">
        <v>45641</v>
      </c>
      <c r="E63" s="1" t="str">
        <f>TEXT(Table1_2[[#This Row],[Order_Date]],"mmm")</f>
        <v>Dec</v>
      </c>
      <c r="F63" s="1" t="s">
        <v>214</v>
      </c>
      <c r="G63" s="1" t="s">
        <v>235</v>
      </c>
      <c r="H63">
        <v>4</v>
      </c>
      <c r="I63">
        <v>209.32</v>
      </c>
      <c r="J63" s="1" t="s">
        <v>242</v>
      </c>
      <c r="K63" s="1" t="s">
        <v>244</v>
      </c>
      <c r="L63">
        <v>837.28</v>
      </c>
    </row>
    <row r="64" spans="1:12" x14ac:dyDescent="0.3">
      <c r="A64">
        <v>162</v>
      </c>
      <c r="B64" s="1" t="s">
        <v>73</v>
      </c>
      <c r="C64" s="1" t="s">
        <v>173</v>
      </c>
      <c r="D64" s="2">
        <v>45796</v>
      </c>
      <c r="E64" s="1" t="str">
        <f>TEXT(Table1_2[[#This Row],[Order_Date]],"mmm")</f>
        <v>May</v>
      </c>
      <c r="F64" s="1" t="s">
        <v>211</v>
      </c>
      <c r="G64" s="1" t="s">
        <v>232</v>
      </c>
      <c r="H64">
        <v>2</v>
      </c>
      <c r="I64">
        <v>155.76</v>
      </c>
      <c r="J64" s="1" t="s">
        <v>243</v>
      </c>
      <c r="K64" s="1" t="s">
        <v>248</v>
      </c>
      <c r="L64">
        <v>311.52</v>
      </c>
    </row>
    <row r="65" spans="1:12" x14ac:dyDescent="0.3">
      <c r="A65">
        <v>163</v>
      </c>
      <c r="B65" s="1" t="s">
        <v>74</v>
      </c>
      <c r="C65" s="1" t="s">
        <v>174</v>
      </c>
      <c r="D65" s="2">
        <v>44931</v>
      </c>
      <c r="E65" s="1" t="str">
        <f>TEXT(Table1_2[[#This Row],[Order_Date]],"mmm")</f>
        <v>Jan</v>
      </c>
      <c r="F65" s="1" t="s">
        <v>225</v>
      </c>
      <c r="G65" s="1" t="s">
        <v>233</v>
      </c>
      <c r="H65">
        <v>3</v>
      </c>
      <c r="I65">
        <v>235.26</v>
      </c>
      <c r="J65" s="1" t="s">
        <v>240</v>
      </c>
      <c r="K65" s="1" t="s">
        <v>244</v>
      </c>
      <c r="L65">
        <v>705.78</v>
      </c>
    </row>
    <row r="66" spans="1:12" x14ac:dyDescent="0.3">
      <c r="A66">
        <v>164</v>
      </c>
      <c r="B66" s="1" t="s">
        <v>75</v>
      </c>
      <c r="C66" s="1" t="s">
        <v>175</v>
      </c>
      <c r="D66" s="2">
        <v>45697</v>
      </c>
      <c r="E66" s="1" t="str">
        <f>TEXT(Table1_2[[#This Row],[Order_Date]],"mmm")</f>
        <v>Feb</v>
      </c>
      <c r="F66" s="1" t="s">
        <v>213</v>
      </c>
      <c r="G66" s="1" t="s">
        <v>234</v>
      </c>
      <c r="H66">
        <v>0</v>
      </c>
      <c r="I66">
        <v>587.64</v>
      </c>
      <c r="J66" s="1" t="s">
        <v>243</v>
      </c>
      <c r="K66" s="1" t="s">
        <v>248</v>
      </c>
      <c r="L66">
        <v>0</v>
      </c>
    </row>
    <row r="67" spans="1:12" x14ac:dyDescent="0.3">
      <c r="A67">
        <v>165</v>
      </c>
      <c r="B67" s="1" t="s">
        <v>76</v>
      </c>
      <c r="C67" s="1" t="s">
        <v>176</v>
      </c>
      <c r="D67" s="2">
        <v>45604</v>
      </c>
      <c r="E67" s="1" t="str">
        <f>TEXT(Table1_2[[#This Row],[Order_Date]],"mmm")</f>
        <v>Nov</v>
      </c>
      <c r="F67" s="1" t="s">
        <v>218</v>
      </c>
      <c r="G67" s="1" t="s">
        <v>237</v>
      </c>
      <c r="H67">
        <v>2</v>
      </c>
      <c r="I67">
        <v>443.13</v>
      </c>
      <c r="J67" s="1" t="s">
        <v>243</v>
      </c>
      <c r="K67" s="1" t="s">
        <v>246</v>
      </c>
      <c r="L67">
        <v>886.26</v>
      </c>
    </row>
    <row r="68" spans="1:12" x14ac:dyDescent="0.3">
      <c r="A68">
        <v>166</v>
      </c>
      <c r="B68" s="1" t="s">
        <v>77</v>
      </c>
      <c r="C68" s="1" t="s">
        <v>177</v>
      </c>
      <c r="D68" s="2">
        <v>45841</v>
      </c>
      <c r="E68" s="1" t="str">
        <f>TEXT(Table1_2[[#This Row],[Order_Date]],"mmm")</f>
        <v>Jul</v>
      </c>
      <c r="F68" s="1" t="s">
        <v>224</v>
      </c>
      <c r="G68" s="1" t="s">
        <v>236</v>
      </c>
      <c r="H68">
        <v>2</v>
      </c>
      <c r="I68">
        <v>569.38</v>
      </c>
      <c r="J68" s="1" t="s">
        <v>240</v>
      </c>
      <c r="K68" s="1" t="s">
        <v>244</v>
      </c>
      <c r="L68">
        <v>1138.76</v>
      </c>
    </row>
    <row r="69" spans="1:12" x14ac:dyDescent="0.3">
      <c r="A69">
        <v>167</v>
      </c>
      <c r="B69" s="1" t="s">
        <v>78</v>
      </c>
      <c r="C69" s="1" t="s">
        <v>178</v>
      </c>
      <c r="D69" s="2">
        <v>45876</v>
      </c>
      <c r="E69" s="1" t="str">
        <f>TEXT(Table1_2[[#This Row],[Order_Date]],"mmm")</f>
        <v>Aug</v>
      </c>
      <c r="F69" s="1" t="s">
        <v>216</v>
      </c>
      <c r="G69" s="1" t="s">
        <v>234</v>
      </c>
      <c r="H69">
        <v>0</v>
      </c>
      <c r="I69">
        <v>593.92999999999995</v>
      </c>
      <c r="J69" s="1" t="s">
        <v>240</v>
      </c>
      <c r="K69" s="1" t="s">
        <v>245</v>
      </c>
      <c r="L69">
        <v>0</v>
      </c>
    </row>
    <row r="70" spans="1:12" x14ac:dyDescent="0.3">
      <c r="A70">
        <v>168</v>
      </c>
      <c r="B70" s="1" t="s">
        <v>79</v>
      </c>
      <c r="C70" s="1" t="s">
        <v>179</v>
      </c>
      <c r="D70" s="2">
        <v>45965</v>
      </c>
      <c r="E70" s="1" t="str">
        <f>TEXT(Table1_2[[#This Row],[Order_Date]],"mmm")</f>
        <v>Nov</v>
      </c>
      <c r="F70" s="1" t="s">
        <v>215</v>
      </c>
      <c r="G70" s="1" t="s">
        <v>235</v>
      </c>
      <c r="H70">
        <v>2</v>
      </c>
      <c r="I70">
        <v>141.49</v>
      </c>
      <c r="J70" s="1" t="s">
        <v>241</v>
      </c>
      <c r="K70" s="1" t="s">
        <v>247</v>
      </c>
      <c r="L70">
        <v>282.98</v>
      </c>
    </row>
    <row r="71" spans="1:12" x14ac:dyDescent="0.3">
      <c r="A71">
        <v>169</v>
      </c>
      <c r="B71" s="1" t="s">
        <v>80</v>
      </c>
      <c r="C71" s="1" t="s">
        <v>180</v>
      </c>
      <c r="D71" s="2">
        <v>45881</v>
      </c>
      <c r="E71" s="1" t="str">
        <f>TEXT(Table1_2[[#This Row],[Order_Date]],"mmm")</f>
        <v>Aug</v>
      </c>
      <c r="F71" s="1" t="s">
        <v>216</v>
      </c>
      <c r="G71" s="1" t="s">
        <v>234</v>
      </c>
      <c r="H71">
        <v>1</v>
      </c>
      <c r="I71">
        <v>582.13</v>
      </c>
      <c r="J71" s="1" t="s">
        <v>243</v>
      </c>
      <c r="K71" s="1" t="s">
        <v>248</v>
      </c>
      <c r="L71">
        <v>582.13</v>
      </c>
    </row>
    <row r="72" spans="1:12" x14ac:dyDescent="0.3">
      <c r="A72">
        <v>170</v>
      </c>
      <c r="B72" s="1" t="s">
        <v>81</v>
      </c>
      <c r="C72" s="1" t="s">
        <v>181</v>
      </c>
      <c r="D72" s="2">
        <v>45933</v>
      </c>
      <c r="E72" s="1" t="str">
        <f>TEXT(Table1_2[[#This Row],[Order_Date]],"mmm")</f>
        <v>Oct</v>
      </c>
      <c r="F72" s="1" t="s">
        <v>231</v>
      </c>
      <c r="G72" s="1" t="s">
        <v>237</v>
      </c>
      <c r="H72">
        <v>5</v>
      </c>
      <c r="I72">
        <v>741.63</v>
      </c>
      <c r="J72" s="1" t="s">
        <v>242</v>
      </c>
      <c r="K72" s="1" t="s">
        <v>245</v>
      </c>
      <c r="L72">
        <v>3708.15</v>
      </c>
    </row>
    <row r="73" spans="1:12" x14ac:dyDescent="0.3">
      <c r="A73">
        <v>171</v>
      </c>
      <c r="B73" s="1" t="s">
        <v>82</v>
      </c>
      <c r="C73" s="1" t="s">
        <v>182</v>
      </c>
      <c r="D73" s="2">
        <v>45632</v>
      </c>
      <c r="E73" s="1" t="str">
        <f>TEXT(Table1_2[[#This Row],[Order_Date]],"mmm")</f>
        <v>Dec</v>
      </c>
      <c r="F73" s="1" t="s">
        <v>218</v>
      </c>
      <c r="G73" s="1" t="s">
        <v>237</v>
      </c>
      <c r="H73">
        <v>3</v>
      </c>
      <c r="I73">
        <v>688.68</v>
      </c>
      <c r="J73" s="1" t="s">
        <v>241</v>
      </c>
      <c r="K73" s="1" t="s">
        <v>245</v>
      </c>
      <c r="L73">
        <v>2066.04</v>
      </c>
    </row>
    <row r="74" spans="1:12" x14ac:dyDescent="0.3">
      <c r="A74">
        <v>172</v>
      </c>
      <c r="B74" s="1" t="s">
        <v>83</v>
      </c>
      <c r="C74" s="1" t="s">
        <v>183</v>
      </c>
      <c r="D74" s="2">
        <v>45614</v>
      </c>
      <c r="E74" s="1" t="str">
        <f>TEXT(Table1_2[[#This Row],[Order_Date]],"mmm")</f>
        <v>Nov</v>
      </c>
      <c r="F74" s="1" t="s">
        <v>217</v>
      </c>
      <c r="G74" s="1" t="s">
        <v>235</v>
      </c>
      <c r="H74">
        <v>2</v>
      </c>
      <c r="I74">
        <v>942.76</v>
      </c>
      <c r="J74" s="1" t="s">
        <v>242</v>
      </c>
      <c r="K74" s="1" t="s">
        <v>248</v>
      </c>
      <c r="L74">
        <v>1885.52</v>
      </c>
    </row>
    <row r="75" spans="1:12" x14ac:dyDescent="0.3">
      <c r="A75">
        <v>173</v>
      </c>
      <c r="B75" s="1" t="s">
        <v>84</v>
      </c>
      <c r="C75" s="1" t="s">
        <v>184</v>
      </c>
      <c r="D75" s="2">
        <v>45941</v>
      </c>
      <c r="E75" s="1" t="str">
        <f>TEXT(Table1_2[[#This Row],[Order_Date]],"mmm")</f>
        <v>Oct</v>
      </c>
      <c r="F75" s="1" t="s">
        <v>223</v>
      </c>
      <c r="G75" s="1" t="s">
        <v>232</v>
      </c>
      <c r="H75">
        <v>5</v>
      </c>
      <c r="I75">
        <v>351.89</v>
      </c>
      <c r="J75" s="1" t="s">
        <v>243</v>
      </c>
      <c r="K75" s="1" t="s">
        <v>244</v>
      </c>
      <c r="L75">
        <v>1759.45</v>
      </c>
    </row>
    <row r="76" spans="1:12" x14ac:dyDescent="0.3">
      <c r="A76">
        <v>174</v>
      </c>
      <c r="B76" s="1" t="s">
        <v>85</v>
      </c>
      <c r="C76" s="1" t="s">
        <v>185</v>
      </c>
      <c r="D76" s="2">
        <v>45920</v>
      </c>
      <c r="E76" s="1" t="str">
        <f>TEXT(Table1_2[[#This Row],[Order_Date]],"mmm")</f>
        <v>Sep</v>
      </c>
      <c r="F76" s="1" t="s">
        <v>220</v>
      </c>
      <c r="G76" s="1" t="s">
        <v>239</v>
      </c>
      <c r="H76">
        <v>4</v>
      </c>
      <c r="I76">
        <v>187.48</v>
      </c>
      <c r="J76" s="1" t="s">
        <v>243</v>
      </c>
      <c r="K76" s="1" t="s">
        <v>248</v>
      </c>
      <c r="L76">
        <v>749.92</v>
      </c>
    </row>
    <row r="77" spans="1:12" x14ac:dyDescent="0.3">
      <c r="A77">
        <v>175</v>
      </c>
      <c r="B77" s="1" t="s">
        <v>86</v>
      </c>
      <c r="C77" s="1" t="s">
        <v>186</v>
      </c>
      <c r="D77" s="2">
        <v>45712</v>
      </c>
      <c r="E77" s="1" t="str">
        <f>TEXT(Table1_2[[#This Row],[Order_Date]],"mmm")</f>
        <v>Feb</v>
      </c>
      <c r="F77" s="1" t="s">
        <v>226</v>
      </c>
      <c r="G77" s="1" t="s">
        <v>233</v>
      </c>
      <c r="H77">
        <v>1</v>
      </c>
      <c r="I77">
        <v>111.36</v>
      </c>
      <c r="J77" s="1" t="s">
        <v>243</v>
      </c>
      <c r="K77" s="1" t="s">
        <v>245</v>
      </c>
      <c r="L77">
        <v>111.36</v>
      </c>
    </row>
    <row r="78" spans="1:12" x14ac:dyDescent="0.3">
      <c r="A78">
        <v>176</v>
      </c>
      <c r="B78" s="1" t="s">
        <v>87</v>
      </c>
      <c r="C78" s="1" t="s">
        <v>187</v>
      </c>
      <c r="D78" s="2">
        <v>45860</v>
      </c>
      <c r="E78" s="1" t="str">
        <f>TEXT(Table1_2[[#This Row],[Order_Date]],"mmm")</f>
        <v>Jul</v>
      </c>
      <c r="F78" s="1" t="s">
        <v>217</v>
      </c>
      <c r="G78" s="1" t="s">
        <v>235</v>
      </c>
      <c r="H78">
        <v>5</v>
      </c>
      <c r="I78">
        <v>530.52</v>
      </c>
      <c r="J78" s="1" t="s">
        <v>240</v>
      </c>
      <c r="K78" s="1" t="s">
        <v>244</v>
      </c>
      <c r="L78">
        <v>2652.6</v>
      </c>
    </row>
    <row r="79" spans="1:12" x14ac:dyDescent="0.3">
      <c r="A79">
        <v>177</v>
      </c>
      <c r="B79" s="1" t="s">
        <v>88</v>
      </c>
      <c r="C79" s="1" t="s">
        <v>188</v>
      </c>
      <c r="D79" s="2">
        <v>45866</v>
      </c>
      <c r="E79" s="1" t="str">
        <f>TEXT(Table1_2[[#This Row],[Order_Date]],"mmm")</f>
        <v>Jul</v>
      </c>
      <c r="F79" s="1" t="s">
        <v>228</v>
      </c>
      <c r="G79" s="1" t="s">
        <v>233</v>
      </c>
      <c r="H79">
        <v>1</v>
      </c>
      <c r="I79">
        <v>69.48</v>
      </c>
      <c r="J79" s="1" t="s">
        <v>242</v>
      </c>
      <c r="K79" s="1" t="s">
        <v>248</v>
      </c>
      <c r="L79">
        <v>69.48</v>
      </c>
    </row>
    <row r="80" spans="1:12" x14ac:dyDescent="0.3">
      <c r="A80">
        <v>178</v>
      </c>
      <c r="B80" s="1" t="s">
        <v>89</v>
      </c>
      <c r="C80" s="1" t="s">
        <v>189</v>
      </c>
      <c r="D80" s="2">
        <v>45918</v>
      </c>
      <c r="E80" s="1" t="str">
        <f>TEXT(Table1_2[[#This Row],[Order_Date]],"mmm")</f>
        <v>Sep</v>
      </c>
      <c r="F80" s="1" t="s">
        <v>213</v>
      </c>
      <c r="G80" s="1" t="s">
        <v>234</v>
      </c>
      <c r="H80">
        <v>3</v>
      </c>
      <c r="I80">
        <v>472.14</v>
      </c>
      <c r="J80" s="1" t="s">
        <v>241</v>
      </c>
      <c r="K80" s="1" t="s">
        <v>248</v>
      </c>
      <c r="L80">
        <v>1416.42</v>
      </c>
    </row>
    <row r="81" spans="1:12" x14ac:dyDescent="0.3">
      <c r="A81">
        <v>179</v>
      </c>
      <c r="B81" s="1" t="s">
        <v>90</v>
      </c>
      <c r="C81" s="1" t="s">
        <v>190</v>
      </c>
      <c r="D81" s="2">
        <v>45903</v>
      </c>
      <c r="E81" s="1" t="str">
        <f>TEXT(Table1_2[[#This Row],[Order_Date]],"mmm")</f>
        <v>Sep</v>
      </c>
      <c r="F81" s="1" t="s">
        <v>221</v>
      </c>
      <c r="G81" s="1" t="s">
        <v>234</v>
      </c>
      <c r="H81">
        <v>3</v>
      </c>
      <c r="I81">
        <v>868.67</v>
      </c>
      <c r="J81" s="1" t="s">
        <v>241</v>
      </c>
      <c r="K81" s="1" t="s">
        <v>246</v>
      </c>
      <c r="L81">
        <v>2606.0100000000002</v>
      </c>
    </row>
    <row r="82" spans="1:12" x14ac:dyDescent="0.3">
      <c r="A82">
        <v>180</v>
      </c>
      <c r="B82" s="1" t="s">
        <v>91</v>
      </c>
      <c r="C82" s="1" t="s">
        <v>191</v>
      </c>
      <c r="D82" s="2">
        <v>45742</v>
      </c>
      <c r="E82" s="1" t="str">
        <f>TEXT(Table1_2[[#This Row],[Order_Date]],"mmm")</f>
        <v>Mar</v>
      </c>
      <c r="F82" s="1" t="s">
        <v>228</v>
      </c>
      <c r="G82" s="1"/>
      <c r="H82">
        <v>2</v>
      </c>
      <c r="I82">
        <v>418.38</v>
      </c>
      <c r="J82" s="1" t="s">
        <v>243</v>
      </c>
      <c r="K82" s="1" t="s">
        <v>245</v>
      </c>
      <c r="L82">
        <v>836.76</v>
      </c>
    </row>
    <row r="83" spans="1:12" x14ac:dyDescent="0.3">
      <c r="A83">
        <v>181</v>
      </c>
      <c r="B83" s="1" t="s">
        <v>92</v>
      </c>
      <c r="C83" s="1" t="s">
        <v>192</v>
      </c>
      <c r="D83" s="2">
        <v>45655</v>
      </c>
      <c r="E83" s="1" t="str">
        <f>TEXT(Table1_2[[#This Row],[Order_Date]],"mmm")</f>
        <v>Dec</v>
      </c>
      <c r="F83" s="1" t="s">
        <v>212</v>
      </c>
      <c r="G83" s="1" t="s">
        <v>249</v>
      </c>
      <c r="H83">
        <v>1</v>
      </c>
      <c r="I83">
        <v>266.48</v>
      </c>
      <c r="J83" s="1" t="s">
        <v>240</v>
      </c>
      <c r="K83" s="1" t="s">
        <v>247</v>
      </c>
      <c r="L83">
        <v>266.48</v>
      </c>
    </row>
    <row r="84" spans="1:12" x14ac:dyDescent="0.3">
      <c r="A84">
        <v>182</v>
      </c>
      <c r="B84" s="1" t="s">
        <v>93</v>
      </c>
      <c r="C84" s="1" t="s">
        <v>193</v>
      </c>
      <c r="D84" s="2">
        <v>45872</v>
      </c>
      <c r="E84" s="1" t="str">
        <f>TEXT(Table1_2[[#This Row],[Order_Date]],"mmm")</f>
        <v>Aug</v>
      </c>
      <c r="F84" s="1" t="s">
        <v>218</v>
      </c>
      <c r="G84" s="1"/>
      <c r="H84">
        <v>4</v>
      </c>
      <c r="I84">
        <v>538.35</v>
      </c>
      <c r="J84" s="1" t="s">
        <v>241</v>
      </c>
      <c r="K84" s="1" t="s">
        <v>245</v>
      </c>
      <c r="L84">
        <v>2153.4</v>
      </c>
    </row>
    <row r="85" spans="1:12" x14ac:dyDescent="0.3">
      <c r="A85">
        <v>183</v>
      </c>
      <c r="B85" s="1" t="s">
        <v>94</v>
      </c>
      <c r="C85" s="1" t="s">
        <v>194</v>
      </c>
      <c r="D85" s="2">
        <v>45726</v>
      </c>
      <c r="E85" s="1" t="str">
        <f>TEXT(Table1_2[[#This Row],[Order_Date]],"mmm")</f>
        <v>Mar</v>
      </c>
      <c r="F85" s="1" t="s">
        <v>218</v>
      </c>
      <c r="G85" s="1" t="s">
        <v>237</v>
      </c>
      <c r="H85">
        <v>5</v>
      </c>
      <c r="I85">
        <v>0</v>
      </c>
      <c r="J85" s="1" t="s">
        <v>240</v>
      </c>
      <c r="K85" s="1" t="s">
        <v>248</v>
      </c>
      <c r="L85">
        <v>0</v>
      </c>
    </row>
    <row r="86" spans="1:12" x14ac:dyDescent="0.3">
      <c r="A86">
        <v>184</v>
      </c>
      <c r="B86" s="1" t="s">
        <v>95</v>
      </c>
      <c r="C86" s="1" t="s">
        <v>195</v>
      </c>
      <c r="D86" s="2">
        <v>45703</v>
      </c>
      <c r="E86" s="1" t="str">
        <f>TEXT(Table1_2[[#This Row],[Order_Date]],"mmm")</f>
        <v>Feb</v>
      </c>
      <c r="F86" s="1" t="s">
        <v>231</v>
      </c>
      <c r="G86" s="1"/>
      <c r="H86">
        <v>4</v>
      </c>
      <c r="I86">
        <v>101.19</v>
      </c>
      <c r="J86" s="1" t="s">
        <v>242</v>
      </c>
      <c r="K86" s="1" t="s">
        <v>245</v>
      </c>
      <c r="L86">
        <v>404.76</v>
      </c>
    </row>
    <row r="87" spans="1:12" x14ac:dyDescent="0.3">
      <c r="A87">
        <v>185</v>
      </c>
      <c r="B87" s="1" t="s">
        <v>96</v>
      </c>
      <c r="C87" s="1" t="s">
        <v>196</v>
      </c>
      <c r="D87" s="2">
        <v>45883</v>
      </c>
      <c r="E87" s="1" t="str">
        <f>TEXT(Table1_2[[#This Row],[Order_Date]],"mmm")</f>
        <v>Aug</v>
      </c>
      <c r="F87" s="1" t="s">
        <v>227</v>
      </c>
      <c r="G87" s="1" t="s">
        <v>234</v>
      </c>
      <c r="H87">
        <v>2</v>
      </c>
      <c r="I87">
        <v>730.92</v>
      </c>
      <c r="J87" s="1" t="s">
        <v>240</v>
      </c>
      <c r="K87" s="1" t="s">
        <v>247</v>
      </c>
      <c r="L87">
        <v>1023.288</v>
      </c>
    </row>
    <row r="88" spans="1:12" x14ac:dyDescent="0.3">
      <c r="A88">
        <v>186</v>
      </c>
      <c r="B88" s="1" t="s">
        <v>97</v>
      </c>
      <c r="C88" s="1" t="s">
        <v>197</v>
      </c>
      <c r="D88" s="2">
        <v>45936</v>
      </c>
      <c r="E88" s="1" t="str">
        <f>TEXT(Table1_2[[#This Row],[Order_Date]],"mmm")</f>
        <v>Oct</v>
      </c>
      <c r="F88" s="1" t="s">
        <v>228</v>
      </c>
      <c r="G88" s="1" t="s">
        <v>233</v>
      </c>
      <c r="H88">
        <v>1</v>
      </c>
      <c r="I88">
        <v>365.34</v>
      </c>
      <c r="J88" s="1" t="s">
        <v>242</v>
      </c>
      <c r="K88" s="1" t="s">
        <v>246</v>
      </c>
      <c r="L88">
        <v>365.34</v>
      </c>
    </row>
    <row r="89" spans="1:12" x14ac:dyDescent="0.3">
      <c r="A89">
        <v>187</v>
      </c>
      <c r="B89" s="1" t="s">
        <v>98</v>
      </c>
      <c r="C89" s="1" t="s">
        <v>198</v>
      </c>
      <c r="D89" s="2">
        <v>45615</v>
      </c>
      <c r="E89" s="1" t="str">
        <f>TEXT(Table1_2[[#This Row],[Order_Date]],"mmm")</f>
        <v>Nov</v>
      </c>
      <c r="F89" s="1" t="s">
        <v>212</v>
      </c>
      <c r="G89" s="1" t="s">
        <v>233</v>
      </c>
      <c r="H89">
        <v>3</v>
      </c>
      <c r="I89">
        <v>882.96</v>
      </c>
      <c r="J89" s="1" t="s">
        <v>242</v>
      </c>
      <c r="K89" s="1" t="s">
        <v>248</v>
      </c>
      <c r="L89">
        <v>2648.88</v>
      </c>
    </row>
    <row r="90" spans="1:12" x14ac:dyDescent="0.3">
      <c r="A90">
        <v>188</v>
      </c>
      <c r="B90" s="1" t="s">
        <v>99</v>
      </c>
      <c r="C90" s="1" t="s">
        <v>199</v>
      </c>
      <c r="D90" s="2">
        <v>45615</v>
      </c>
      <c r="E90" s="1" t="str">
        <f>TEXT(Table1_2[[#This Row],[Order_Date]],"mmm")</f>
        <v>Nov</v>
      </c>
      <c r="F90" s="1" t="s">
        <v>220</v>
      </c>
      <c r="G90" s="1" t="s">
        <v>232</v>
      </c>
      <c r="H90">
        <v>5</v>
      </c>
      <c r="I90">
        <v>504.05</v>
      </c>
      <c r="J90" s="1" t="s">
        <v>240</v>
      </c>
      <c r="K90" s="1" t="s">
        <v>244</v>
      </c>
      <c r="L90">
        <v>2520.25</v>
      </c>
    </row>
    <row r="91" spans="1:12" x14ac:dyDescent="0.3">
      <c r="A91">
        <v>189</v>
      </c>
      <c r="B91" s="1" t="s">
        <v>100</v>
      </c>
      <c r="C91" s="1" t="s">
        <v>200</v>
      </c>
      <c r="D91" s="2">
        <v>45883</v>
      </c>
      <c r="E91" s="1" t="str">
        <f>TEXT(Table1_2[[#This Row],[Order_Date]],"mmm")</f>
        <v>Aug</v>
      </c>
      <c r="F91" s="1" t="s">
        <v>223</v>
      </c>
      <c r="G91" s="1" t="s">
        <v>232</v>
      </c>
      <c r="H91">
        <v>1</v>
      </c>
      <c r="I91">
        <v>814.68</v>
      </c>
      <c r="J91" s="1" t="s">
        <v>240</v>
      </c>
      <c r="K91" s="1" t="s">
        <v>248</v>
      </c>
      <c r="L91">
        <v>814.68</v>
      </c>
    </row>
    <row r="92" spans="1:12" x14ac:dyDescent="0.3">
      <c r="A92">
        <v>190</v>
      </c>
      <c r="B92" s="1" t="s">
        <v>101</v>
      </c>
      <c r="C92" s="1" t="s">
        <v>201</v>
      </c>
      <c r="D92" s="2">
        <v>45837</v>
      </c>
      <c r="E92" s="1" t="str">
        <f>TEXT(Table1_2[[#This Row],[Order_Date]],"mmm")</f>
        <v>Jun</v>
      </c>
      <c r="F92" s="1" t="s">
        <v>222</v>
      </c>
      <c r="G92" s="1" t="s">
        <v>232</v>
      </c>
      <c r="H92">
        <v>1</v>
      </c>
      <c r="I92">
        <v>920.37</v>
      </c>
      <c r="J92" s="1" t="s">
        <v>242</v>
      </c>
      <c r="K92" s="1" t="s">
        <v>245</v>
      </c>
      <c r="L92">
        <v>920.37</v>
      </c>
    </row>
    <row r="93" spans="1:12" x14ac:dyDescent="0.3">
      <c r="A93">
        <v>191</v>
      </c>
      <c r="B93" s="1" t="s">
        <v>102</v>
      </c>
      <c r="C93" s="1" t="s">
        <v>202</v>
      </c>
      <c r="D93" s="2">
        <v>45856</v>
      </c>
      <c r="E93" s="1" t="str">
        <f>TEXT(Table1_2[[#This Row],[Order_Date]],"mmm")</f>
        <v>Jul</v>
      </c>
      <c r="F93" s="1" t="s">
        <v>219</v>
      </c>
      <c r="G93" s="1" t="s">
        <v>235</v>
      </c>
      <c r="H93">
        <v>2</v>
      </c>
      <c r="I93">
        <v>881.02</v>
      </c>
      <c r="J93" s="1" t="s">
        <v>240</v>
      </c>
      <c r="K93" s="1" t="s">
        <v>248</v>
      </c>
      <c r="L93">
        <v>1762.04</v>
      </c>
    </row>
    <row r="94" spans="1:12" x14ac:dyDescent="0.3">
      <c r="A94">
        <v>192</v>
      </c>
      <c r="B94" s="1" t="s">
        <v>103</v>
      </c>
      <c r="C94" s="1" t="s">
        <v>203</v>
      </c>
      <c r="D94" s="2"/>
      <c r="E94" s="1" t="str">
        <f>TEXT(Table1_2[[#This Row],[Order_Date]],"mmm")</f>
        <v>Jan</v>
      </c>
      <c r="F94" s="1" t="s">
        <v>229</v>
      </c>
      <c r="G94" s="1" t="s">
        <v>237</v>
      </c>
      <c r="H94">
        <v>0</v>
      </c>
      <c r="I94">
        <v>203.63</v>
      </c>
      <c r="J94" s="1" t="s">
        <v>243</v>
      </c>
      <c r="K94" s="1" t="s">
        <v>248</v>
      </c>
      <c r="L94">
        <v>0</v>
      </c>
    </row>
    <row r="95" spans="1:12" x14ac:dyDescent="0.3">
      <c r="A95">
        <v>193</v>
      </c>
      <c r="B95" s="1" t="s">
        <v>104</v>
      </c>
      <c r="C95" s="1" t="s">
        <v>204</v>
      </c>
      <c r="D95" s="2">
        <v>45814</v>
      </c>
      <c r="E95" s="1" t="str">
        <f>TEXT(Table1_2[[#This Row],[Order_Date]],"mmm")</f>
        <v>Jun</v>
      </c>
      <c r="F95" s="1" t="s">
        <v>216</v>
      </c>
      <c r="G95" s="1"/>
      <c r="H95">
        <v>0</v>
      </c>
      <c r="I95">
        <v>522.02</v>
      </c>
      <c r="J95" s="1" t="s">
        <v>241</v>
      </c>
      <c r="K95" s="1" t="s">
        <v>244</v>
      </c>
      <c r="L95">
        <v>0</v>
      </c>
    </row>
    <row r="96" spans="1:12" x14ac:dyDescent="0.3">
      <c r="A96">
        <v>194</v>
      </c>
      <c r="B96" s="1" t="s">
        <v>105</v>
      </c>
      <c r="C96" s="1" t="s">
        <v>205</v>
      </c>
      <c r="D96" s="2">
        <v>45698</v>
      </c>
      <c r="E96" s="1" t="str">
        <f>TEXT(Table1_2[[#This Row],[Order_Date]],"mmm")</f>
        <v>Feb</v>
      </c>
      <c r="F96" s="1" t="s">
        <v>223</v>
      </c>
      <c r="G96" s="1" t="s">
        <v>232</v>
      </c>
      <c r="H96">
        <v>5</v>
      </c>
      <c r="I96">
        <v>944.54</v>
      </c>
      <c r="J96" s="1" t="s">
        <v>240</v>
      </c>
      <c r="K96" s="1" t="s">
        <v>248</v>
      </c>
      <c r="L96">
        <v>4722.7</v>
      </c>
    </row>
    <row r="97" spans="1:12" x14ac:dyDescent="0.3">
      <c r="A97">
        <v>195</v>
      </c>
      <c r="B97" s="1" t="s">
        <v>106</v>
      </c>
      <c r="C97" s="1" t="s">
        <v>206</v>
      </c>
      <c r="D97" s="2">
        <v>45827</v>
      </c>
      <c r="E97" s="1" t="str">
        <f>TEXT(Table1_2[[#This Row],[Order_Date]],"mmm")</f>
        <v>Jun</v>
      </c>
      <c r="F97" s="1" t="s">
        <v>215</v>
      </c>
      <c r="G97" s="1" t="s">
        <v>235</v>
      </c>
      <c r="H97">
        <v>5</v>
      </c>
      <c r="I97">
        <v>817.46</v>
      </c>
      <c r="J97" s="1" t="s">
        <v>240</v>
      </c>
      <c r="K97" s="1" t="s">
        <v>248</v>
      </c>
      <c r="L97">
        <v>4087.3</v>
      </c>
    </row>
    <row r="98" spans="1:12" x14ac:dyDescent="0.3">
      <c r="A98">
        <v>196</v>
      </c>
      <c r="B98" s="1" t="s">
        <v>107</v>
      </c>
      <c r="C98" s="1" t="s">
        <v>207</v>
      </c>
      <c r="D98" s="2">
        <v>45649</v>
      </c>
      <c r="E98" s="1" t="str">
        <f>TEXT(Table1_2[[#This Row],[Order_Date]],"mmm")</f>
        <v>Dec</v>
      </c>
      <c r="F98" s="1" t="s">
        <v>222</v>
      </c>
      <c r="G98" s="1" t="s">
        <v>232</v>
      </c>
      <c r="H98">
        <v>0</v>
      </c>
      <c r="I98">
        <v>0</v>
      </c>
      <c r="J98" s="1" t="s">
        <v>241</v>
      </c>
      <c r="K98" s="1" t="s">
        <v>246</v>
      </c>
      <c r="L98">
        <v>0</v>
      </c>
    </row>
    <row r="99" spans="1:12" x14ac:dyDescent="0.3">
      <c r="A99">
        <v>197</v>
      </c>
      <c r="B99" s="1" t="s">
        <v>108</v>
      </c>
      <c r="C99" s="1" t="s">
        <v>208</v>
      </c>
      <c r="D99" s="2">
        <v>45831</v>
      </c>
      <c r="E99" s="1" t="str">
        <f>TEXT(Table1_2[[#This Row],[Order_Date]],"mmm")</f>
        <v>Jun</v>
      </c>
      <c r="F99" s="1" t="s">
        <v>211</v>
      </c>
      <c r="G99" s="1" t="s">
        <v>232</v>
      </c>
      <c r="H99">
        <v>1</v>
      </c>
      <c r="I99">
        <v>160.16</v>
      </c>
      <c r="J99" s="1" t="s">
        <v>241</v>
      </c>
      <c r="K99" s="1" t="s">
        <v>247</v>
      </c>
      <c r="L99">
        <v>160.16</v>
      </c>
    </row>
    <row r="100" spans="1:12" x14ac:dyDescent="0.3">
      <c r="A100">
        <v>198</v>
      </c>
      <c r="B100" s="1" t="s">
        <v>109</v>
      </c>
      <c r="C100" s="1" t="s">
        <v>209</v>
      </c>
      <c r="D100" s="2">
        <v>45865</v>
      </c>
      <c r="E100" s="1" t="str">
        <f>TEXT(Table1_2[[#This Row],[Order_Date]],"mmm")</f>
        <v>Jul</v>
      </c>
      <c r="F100" s="1" t="s">
        <v>222</v>
      </c>
      <c r="G100" s="1"/>
      <c r="H100">
        <v>2</v>
      </c>
      <c r="I100">
        <v>497.01</v>
      </c>
      <c r="J100" s="1" t="s">
        <v>240</v>
      </c>
      <c r="K100" s="1" t="s">
        <v>244</v>
      </c>
      <c r="L100">
        <v>994.02</v>
      </c>
    </row>
    <row r="101" spans="1:12" x14ac:dyDescent="0.3">
      <c r="A101">
        <v>199</v>
      </c>
      <c r="B101" s="1" t="s">
        <v>110</v>
      </c>
      <c r="C101" s="1" t="s">
        <v>210</v>
      </c>
      <c r="D101" s="2">
        <v>45679</v>
      </c>
      <c r="E101" s="1" t="str">
        <f>TEXT(Table1_2[[#This Row],[Order_Date]],"mmm")</f>
        <v>Jan</v>
      </c>
      <c r="F101" s="1" t="s">
        <v>211</v>
      </c>
      <c r="G101" s="1" t="s">
        <v>232</v>
      </c>
      <c r="H101">
        <v>5</v>
      </c>
      <c r="I101">
        <v>372.28</v>
      </c>
      <c r="J101" s="1" t="s">
        <v>243</v>
      </c>
      <c r="K101" s="1" t="s">
        <v>244</v>
      </c>
      <c r="L101">
        <v>1861.4</v>
      </c>
    </row>
    <row r="102" spans="1:12" x14ac:dyDescent="0.3">
      <c r="A102">
        <v>175</v>
      </c>
      <c r="B102" s="1" t="s">
        <v>86</v>
      </c>
      <c r="C102" s="1" t="s">
        <v>186</v>
      </c>
      <c r="D102" s="2">
        <v>45712</v>
      </c>
      <c r="E102" s="1" t="str">
        <f>TEXT(Table1_2[[#This Row],[Order_Date]],"mmm")</f>
        <v>Feb</v>
      </c>
      <c r="F102" s="1" t="s">
        <v>226</v>
      </c>
      <c r="G102" s="1" t="s">
        <v>233</v>
      </c>
      <c r="H102">
        <v>1</v>
      </c>
      <c r="I102">
        <v>111.36</v>
      </c>
      <c r="J102" s="1" t="s">
        <v>243</v>
      </c>
      <c r="K102" s="1" t="s">
        <v>245</v>
      </c>
      <c r="L102">
        <v>77.951999999999998</v>
      </c>
    </row>
    <row r="103" spans="1:12" x14ac:dyDescent="0.3">
      <c r="A103">
        <v>142</v>
      </c>
      <c r="B103" s="1" t="s">
        <v>53</v>
      </c>
      <c r="C103" s="1" t="s">
        <v>153</v>
      </c>
      <c r="D103" s="2">
        <v>45960</v>
      </c>
      <c r="E103" s="1" t="str">
        <f>TEXT(Table1_2[[#This Row],[Order_Date]],"mmm")</f>
        <v>Oct</v>
      </c>
      <c r="F103" s="1" t="s">
        <v>218</v>
      </c>
      <c r="G103" s="1" t="s">
        <v>237</v>
      </c>
      <c r="H103">
        <v>5</v>
      </c>
      <c r="I103">
        <v>645.26</v>
      </c>
      <c r="J103" s="1" t="s">
        <v>243</v>
      </c>
      <c r="K103" s="1" t="s">
        <v>244</v>
      </c>
      <c r="L103">
        <v>3226.3</v>
      </c>
    </row>
    <row r="104" spans="1:12" x14ac:dyDescent="0.3">
      <c r="A104">
        <v>146</v>
      </c>
      <c r="B104" s="1" t="s">
        <v>57</v>
      </c>
      <c r="C104" s="1" t="s">
        <v>157</v>
      </c>
      <c r="D104" s="2">
        <v>45847</v>
      </c>
      <c r="E104" s="1" t="str">
        <f>TEXT(Table1_2[[#This Row],[Order_Date]],"mmm")</f>
        <v>Jul</v>
      </c>
      <c r="F104" s="1" t="s">
        <v>216</v>
      </c>
      <c r="G104" s="1" t="s">
        <v>238</v>
      </c>
      <c r="H104">
        <v>2</v>
      </c>
      <c r="I104">
        <v>705.42</v>
      </c>
      <c r="J104" s="1" t="s">
        <v>242</v>
      </c>
      <c r="K104" s="1" t="s">
        <v>245</v>
      </c>
      <c r="L104">
        <v>1410.84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C6C74A-3C3A-4F31-8D2E-A4A53D03B9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Avg sales</vt:lpstr>
      <vt:lpstr>category</vt:lpstr>
      <vt:lpstr>Monthly sales</vt:lpstr>
      <vt:lpstr>Payment method </vt:lpstr>
      <vt:lpstr>Rev&amp;Prof</vt:lpstr>
      <vt:lpstr>Peak Monthly sales</vt:lpstr>
      <vt:lpstr>DashBoard</vt:lpstr>
      <vt:lpstr>Ecommerce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Pradeep L</cp:lastModifiedBy>
  <dcterms:created xsi:type="dcterms:W3CDTF">2026-03-06T15:06:02Z</dcterms:created>
  <dcterms:modified xsi:type="dcterms:W3CDTF">2026-03-20T08:00:36Z</dcterms:modified>
</cp:coreProperties>
</file>